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員工資料" sheetId="1" state="visible" r:id="rId1"/>
    <sheet xmlns:r="http://schemas.openxmlformats.org/officeDocument/2006/relationships" name="薪資統計" sheetId="2" state="visible" r:id="rId2"/>
    <sheet xmlns:r="http://schemas.openxmlformats.org/officeDocument/2006/relationships" name="績效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/MM/DD"/>
    <numFmt numFmtId="166" formatCode="0.0%"/>
  </numFmts>
  <fonts count="3">
    <font>
      <name val="Calibri"/>
      <family val="2"/>
      <color theme="1"/>
      <sz val="11"/>
      <scheme val="minor"/>
    </font>
    <font>
      <name val="微軟正黑體"/>
      <b val="1"/>
      <color rgb="00FFFFFF"/>
      <sz val="10"/>
    </font>
    <font>
      <name val="微軟正黑體"/>
      <b val="1"/>
      <sz val="10"/>
    </font>
  </fonts>
  <fills count="5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EEF2F8"/>
      </patternFill>
    </fill>
    <fill>
      <patternFill patternType="solid">
        <fgColor rgb="00DCE8F8"/>
      </patternFill>
    </fill>
  </fills>
  <borders count="2">
    <border>
      <left/>
      <right/>
      <top/>
      <bottom/>
      <diagonal/>
    </border>
    <border>
      <left style="thin">
        <color rgb="00AABBCC"/>
      </left>
      <right style="thin">
        <color rgb="00AABBCC"/>
      </right>
      <top style="thin">
        <color rgb="00AABBCC"/>
      </top>
      <bottom style="thin">
        <color rgb="00AABB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3" fontId="0" fillId="0" borderId="0" pivotButton="0" quotePrefix="0" xfId="0"/>
    <xf numFmtId="0" fontId="2" fillId="4" borderId="0" pivotButton="0" quotePrefix="0" xfId="0"/>
    <xf numFmtId="3" fontId="2" fillId="4" borderId="0" pivotButton="0" quotePrefix="0" xfId="0"/>
    <xf numFmtId="166" fontId="0" fillId="0" borderId="0" pivotButton="0" quotePrefix="0" xfId="0"/>
    <xf numFmtId="166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8" customWidth="1" min="4" max="4"/>
    <col width="14" customWidth="1" min="5" max="5"/>
    <col width="14" customWidth="1" min="6" max="6"/>
    <col width="10" customWidth="1" min="7" max="7"/>
    <col width="10" customWidth="1" min="8" max="8"/>
    <col width="14" customWidth="1" min="9" max="9"/>
  </cols>
  <sheetData>
    <row r="1">
      <c r="A1" s="1" t="inlineStr">
        <is>
          <t>員工ID</t>
        </is>
      </c>
      <c r="B1" s="1" t="inlineStr">
        <is>
          <t>姓名</t>
        </is>
      </c>
      <c r="C1" s="1" t="inlineStr">
        <is>
          <t>部門</t>
        </is>
      </c>
      <c r="D1" s="1" t="inlineStr">
        <is>
          <t>職級</t>
        </is>
      </c>
      <c r="E1" s="1" t="inlineStr">
        <is>
          <t>到職日期</t>
        </is>
      </c>
      <c r="F1" s="1" t="inlineStr">
        <is>
          <t>月薪(TWD)</t>
        </is>
      </c>
      <c r="G1" s="1" t="inlineStr">
        <is>
          <t>績效評等</t>
        </is>
      </c>
      <c r="H1" s="1" t="inlineStr">
        <is>
          <t>年資(年)</t>
        </is>
      </c>
      <c r="I1" s="1" t="inlineStr">
        <is>
          <t>離職日期</t>
        </is>
      </c>
    </row>
    <row r="2">
      <c r="A2" s="2" t="inlineStr">
        <is>
          <t>EMP10001</t>
        </is>
      </c>
      <c r="B2" s="2" t="inlineStr">
        <is>
          <t>謝勝閎</t>
        </is>
      </c>
      <c r="C2" s="2" t="inlineStr">
        <is>
          <t>產品部</t>
        </is>
      </c>
      <c r="D2" s="2" t="inlineStr">
        <is>
          <t>L6</t>
        </is>
      </c>
      <c r="E2" s="3" t="n">
        <v>42556</v>
      </c>
      <c r="F2" s="2" t="n">
        <v>152000</v>
      </c>
      <c r="G2" s="2" t="inlineStr">
        <is>
          <t>C</t>
        </is>
      </c>
      <c r="H2" s="2">
        <f>DATEDIF(E2,TODAY(),"Y")</f>
        <v/>
      </c>
      <c r="I2" s="2" t="n"/>
    </row>
    <row r="3">
      <c r="A3" s="4" t="inlineStr">
        <is>
          <t>EMP10002</t>
        </is>
      </c>
      <c r="B3" s="4" t="inlineStr">
        <is>
          <t>劉俊廷</t>
        </is>
      </c>
      <c r="C3" s="4" t="inlineStr">
        <is>
          <t>法務部</t>
        </is>
      </c>
      <c r="D3" s="4" t="inlineStr">
        <is>
          <t>L4</t>
        </is>
      </c>
      <c r="E3" s="5" t="n">
        <v>44607</v>
      </c>
      <c r="F3" s="4" t="n">
        <v>99000</v>
      </c>
      <c r="G3" s="4" t="inlineStr">
        <is>
          <t>C</t>
        </is>
      </c>
      <c r="H3" s="4">
        <f>DATEDIF(E3,TODAY(),"Y")</f>
        <v/>
      </c>
      <c r="I3" s="4" t="n"/>
    </row>
    <row r="4">
      <c r="A4" s="2" t="inlineStr">
        <is>
          <t>EMP10003</t>
        </is>
      </c>
      <c r="B4" s="2" t="inlineStr">
        <is>
          <t>林文凱</t>
        </is>
      </c>
      <c r="C4" s="2" t="inlineStr">
        <is>
          <t>行銷部</t>
        </is>
      </c>
      <c r="D4" s="2" t="inlineStr">
        <is>
          <t>L3</t>
        </is>
      </c>
      <c r="E4" s="3" t="n">
        <v>42713</v>
      </c>
      <c r="F4" s="2" t="n">
        <v>83000</v>
      </c>
      <c r="G4" s="2" t="inlineStr">
        <is>
          <t>B</t>
        </is>
      </c>
      <c r="H4" s="2">
        <f>DATEDIF(E4,TODAY(),"Y")</f>
        <v/>
      </c>
      <c r="I4" s="3" t="n">
        <v>44453</v>
      </c>
    </row>
    <row r="5">
      <c r="A5" s="4" t="inlineStr">
        <is>
          <t>EMP10004</t>
        </is>
      </c>
      <c r="B5" s="4" t="inlineStr">
        <is>
          <t>蔡勝閎</t>
        </is>
      </c>
      <c r="C5" s="4" t="inlineStr">
        <is>
          <t>法務部</t>
        </is>
      </c>
      <c r="D5" s="4" t="inlineStr">
        <is>
          <t>L2</t>
        </is>
      </c>
      <c r="E5" s="5" t="n">
        <v>41489</v>
      </c>
      <c r="F5" s="4" t="n">
        <v>49000</v>
      </c>
      <c r="G5" s="4" t="inlineStr">
        <is>
          <t>C</t>
        </is>
      </c>
      <c r="H5" s="4">
        <f>DATEDIF(E5,TODAY(),"Y")</f>
        <v/>
      </c>
      <c r="I5" s="4" t="n"/>
    </row>
    <row r="6">
      <c r="A6" s="2" t="inlineStr">
        <is>
          <t>EMP10005</t>
        </is>
      </c>
      <c r="B6" s="2" t="inlineStr">
        <is>
          <t>邱冠霖</t>
        </is>
      </c>
      <c r="C6" s="2" t="inlineStr">
        <is>
          <t>行銷部</t>
        </is>
      </c>
      <c r="D6" s="2" t="inlineStr">
        <is>
          <t>L3</t>
        </is>
      </c>
      <c r="E6" s="3" t="n">
        <v>44781</v>
      </c>
      <c r="F6" s="2" t="n">
        <v>82000</v>
      </c>
      <c r="G6" s="2" t="inlineStr">
        <is>
          <t>A</t>
        </is>
      </c>
      <c r="H6" s="2">
        <f>DATEDIF(E6,TODAY(),"Y")</f>
        <v/>
      </c>
      <c r="I6" s="2" t="n"/>
    </row>
    <row r="7">
      <c r="A7" s="4" t="inlineStr">
        <is>
          <t>EMP10006</t>
        </is>
      </c>
      <c r="B7" s="4" t="inlineStr">
        <is>
          <t>郭碩宇</t>
        </is>
      </c>
      <c r="C7" s="4" t="inlineStr">
        <is>
          <t>業務部</t>
        </is>
      </c>
      <c r="D7" s="4" t="inlineStr">
        <is>
          <t>L2</t>
        </is>
      </c>
      <c r="E7" s="5" t="n">
        <v>43811</v>
      </c>
      <c r="F7" s="4" t="n">
        <v>51000</v>
      </c>
      <c r="G7" s="4" t="inlineStr">
        <is>
          <t>C</t>
        </is>
      </c>
      <c r="H7" s="4">
        <f>DATEDIF(E7,TODAY(),"Y")</f>
        <v/>
      </c>
      <c r="I7" s="4" t="n"/>
    </row>
    <row r="8">
      <c r="A8" s="2" t="inlineStr">
        <is>
          <t>EMP10007</t>
        </is>
      </c>
      <c r="B8" s="2" t="inlineStr">
        <is>
          <t>張秀蘭</t>
        </is>
      </c>
      <c r="C8" s="2" t="inlineStr">
        <is>
          <t>工程部</t>
        </is>
      </c>
      <c r="D8" s="2" t="inlineStr">
        <is>
          <t>L2</t>
        </is>
      </c>
      <c r="E8" s="3" t="n">
        <v>43688</v>
      </c>
      <c r="F8" s="2" t="n">
        <v>51000</v>
      </c>
      <c r="G8" s="2" t="inlineStr">
        <is>
          <t>A</t>
        </is>
      </c>
      <c r="H8" s="2">
        <f>DATEDIF(E8,TODAY(),"Y")</f>
        <v/>
      </c>
      <c r="I8" s="2" t="n"/>
    </row>
    <row r="9">
      <c r="A9" s="4" t="inlineStr">
        <is>
          <t>EMP10008</t>
        </is>
      </c>
      <c r="B9" s="4" t="inlineStr">
        <is>
          <t>郭秀蘭</t>
        </is>
      </c>
      <c r="C9" s="4" t="inlineStr">
        <is>
          <t>工程部</t>
        </is>
      </c>
      <c r="D9" s="4" t="inlineStr">
        <is>
          <t>L2</t>
        </is>
      </c>
      <c r="E9" s="5" t="n">
        <v>44365</v>
      </c>
      <c r="F9" s="4" t="n">
        <v>65000</v>
      </c>
      <c r="G9" s="4" t="inlineStr">
        <is>
          <t>B</t>
        </is>
      </c>
      <c r="H9" s="4">
        <f>DATEDIF(E9,TODAY(),"Y")</f>
        <v/>
      </c>
      <c r="I9" s="4" t="n"/>
    </row>
    <row r="10">
      <c r="A10" s="2" t="inlineStr">
        <is>
          <t>EMP10009</t>
        </is>
      </c>
      <c r="B10" s="2" t="inlineStr">
        <is>
          <t>廖志遠</t>
        </is>
      </c>
      <c r="C10" s="2" t="inlineStr">
        <is>
          <t>產品部</t>
        </is>
      </c>
      <c r="D10" s="2" t="inlineStr">
        <is>
          <t>L5</t>
        </is>
      </c>
      <c r="E10" s="3" t="n">
        <v>45417</v>
      </c>
      <c r="F10" s="2" t="n">
        <v>112000</v>
      </c>
      <c r="G10" s="2" t="inlineStr">
        <is>
          <t>B</t>
        </is>
      </c>
      <c r="H10" s="2">
        <f>DATEDIF(E10,TODAY(),"Y")</f>
        <v/>
      </c>
      <c r="I10" s="3" t="n">
        <v>45657</v>
      </c>
    </row>
    <row r="11">
      <c r="A11" s="4" t="inlineStr">
        <is>
          <t>EMP10010</t>
        </is>
      </c>
      <c r="B11" s="4" t="inlineStr">
        <is>
          <t>邱淑惠</t>
        </is>
      </c>
      <c r="C11" s="4" t="inlineStr">
        <is>
          <t>工程部</t>
        </is>
      </c>
      <c r="D11" s="4" t="inlineStr">
        <is>
          <t>L6</t>
        </is>
      </c>
      <c r="E11" s="5" t="n">
        <v>42271</v>
      </c>
      <c r="F11" s="4" t="n">
        <v>159000</v>
      </c>
      <c r="G11" s="4" t="inlineStr">
        <is>
          <t>C</t>
        </is>
      </c>
      <c r="H11" s="4">
        <f>DATEDIF(E11,TODAY(),"Y")</f>
        <v/>
      </c>
      <c r="I11" s="4" t="n"/>
    </row>
    <row r="12">
      <c r="A12" s="2" t="inlineStr">
        <is>
          <t>EMP10011</t>
        </is>
      </c>
      <c r="B12" s="2" t="inlineStr">
        <is>
          <t>蔡雅雯</t>
        </is>
      </c>
      <c r="C12" s="2" t="inlineStr">
        <is>
          <t>業務部</t>
        </is>
      </c>
      <c r="D12" s="2" t="inlineStr">
        <is>
          <t>L5</t>
        </is>
      </c>
      <c r="E12" s="3" t="n">
        <v>40926</v>
      </c>
      <c r="F12" s="2" t="n">
        <v>111000</v>
      </c>
      <c r="G12" s="2" t="inlineStr">
        <is>
          <t>B</t>
        </is>
      </c>
      <c r="H12" s="2">
        <f>DATEDIF(E12,TODAY(),"Y")</f>
        <v/>
      </c>
      <c r="I12" s="2" t="n"/>
    </row>
    <row r="13">
      <c r="A13" s="4" t="inlineStr">
        <is>
          <t>EMP10012</t>
        </is>
      </c>
      <c r="B13" s="4" t="inlineStr">
        <is>
          <t>楊淑惠</t>
        </is>
      </c>
      <c r="C13" s="4" t="inlineStr">
        <is>
          <t>財務部</t>
        </is>
      </c>
      <c r="D13" s="4" t="inlineStr">
        <is>
          <t>L3</t>
        </is>
      </c>
      <c r="E13" s="5" t="n">
        <v>44895</v>
      </c>
      <c r="F13" s="4" t="n">
        <v>82000</v>
      </c>
      <c r="G13" s="4" t="inlineStr">
        <is>
          <t>C</t>
        </is>
      </c>
      <c r="H13" s="4">
        <f>DATEDIF(E13,TODAY(),"Y")</f>
        <v/>
      </c>
      <c r="I13" s="4" t="n"/>
    </row>
    <row r="14">
      <c r="A14" s="2" t="inlineStr">
        <is>
          <t>EMP10013</t>
        </is>
      </c>
      <c r="B14" s="2" t="inlineStr">
        <is>
          <t>林雅婷</t>
        </is>
      </c>
      <c r="C14" s="2" t="inlineStr">
        <is>
          <t>業務部</t>
        </is>
      </c>
      <c r="D14" s="2" t="inlineStr">
        <is>
          <t>L6</t>
        </is>
      </c>
      <c r="E14" s="3" t="n">
        <v>41408</v>
      </c>
      <c r="F14" s="2" t="n">
        <v>153000</v>
      </c>
      <c r="G14" s="2" t="inlineStr">
        <is>
          <t>C</t>
        </is>
      </c>
      <c r="H14" s="2">
        <f>DATEDIF(E14,TODAY(),"Y")</f>
        <v/>
      </c>
      <c r="I14" s="2" t="n"/>
    </row>
    <row r="15">
      <c r="A15" s="4" t="inlineStr">
        <is>
          <t>EMP10014</t>
        </is>
      </c>
      <c r="B15" s="4" t="inlineStr">
        <is>
          <t>曾思涵</t>
        </is>
      </c>
      <c r="C15" s="4" t="inlineStr">
        <is>
          <t>產品部</t>
        </is>
      </c>
      <c r="D15" s="4" t="inlineStr">
        <is>
          <t>L4</t>
        </is>
      </c>
      <c r="E15" s="5" t="n">
        <v>45259</v>
      </c>
      <c r="F15" s="4" t="n">
        <v>101000</v>
      </c>
      <c r="G15" s="4" t="inlineStr">
        <is>
          <t>D</t>
        </is>
      </c>
      <c r="H15" s="4">
        <f>DATEDIF(E15,TODAY(),"Y")</f>
        <v/>
      </c>
      <c r="I15" s="4" t="n"/>
    </row>
    <row r="16">
      <c r="A16" s="2" t="inlineStr">
        <is>
          <t>EMP10015</t>
        </is>
      </c>
      <c r="B16" s="2" t="inlineStr">
        <is>
          <t>高子豪</t>
        </is>
      </c>
      <c r="C16" s="2" t="inlineStr">
        <is>
          <t>人資部</t>
        </is>
      </c>
      <c r="D16" s="2" t="inlineStr">
        <is>
          <t>L4</t>
        </is>
      </c>
      <c r="E16" s="3" t="n">
        <v>42835</v>
      </c>
      <c r="F16" s="2" t="n">
        <v>87000</v>
      </c>
      <c r="G16" s="2" t="inlineStr">
        <is>
          <t>B</t>
        </is>
      </c>
      <c r="H16" s="2">
        <f>DATEDIF(E16,TODAY(),"Y")</f>
        <v/>
      </c>
      <c r="I16" s="2" t="n"/>
    </row>
    <row r="17">
      <c r="A17" s="4" t="inlineStr">
        <is>
          <t>EMP10016</t>
        </is>
      </c>
      <c r="B17" s="4" t="inlineStr">
        <is>
          <t>賴子豪</t>
        </is>
      </c>
      <c r="C17" s="4" t="inlineStr">
        <is>
          <t>財務部</t>
        </is>
      </c>
      <c r="D17" s="4" t="inlineStr">
        <is>
          <t>L3</t>
        </is>
      </c>
      <c r="E17" s="5" t="n">
        <v>41580</v>
      </c>
      <c r="F17" s="4" t="n">
        <v>84000</v>
      </c>
      <c r="G17" s="4" t="inlineStr">
        <is>
          <t>A</t>
        </is>
      </c>
      <c r="H17" s="4">
        <f>DATEDIF(E17,TODAY(),"Y")</f>
        <v/>
      </c>
      <c r="I17" s="4" t="n"/>
    </row>
    <row r="18">
      <c r="A18" s="2" t="inlineStr">
        <is>
          <t>EMP10017</t>
        </is>
      </c>
      <c r="B18" s="2" t="inlineStr">
        <is>
          <t>謝冠宇</t>
        </is>
      </c>
      <c r="C18" s="2" t="inlineStr">
        <is>
          <t>工程部</t>
        </is>
      </c>
      <c r="D18" s="2" t="inlineStr">
        <is>
          <t>L3</t>
        </is>
      </c>
      <c r="E18" s="3" t="n">
        <v>43482</v>
      </c>
      <c r="F18" s="2" t="n">
        <v>73000</v>
      </c>
      <c r="G18" s="2" t="inlineStr">
        <is>
          <t>B</t>
        </is>
      </c>
      <c r="H18" s="2">
        <f>DATEDIF(E18,TODAY(),"Y")</f>
        <v/>
      </c>
      <c r="I18" s="2" t="n"/>
    </row>
    <row r="19">
      <c r="A19" s="4" t="inlineStr">
        <is>
          <t>EMP10018</t>
        </is>
      </c>
      <c r="B19" s="4" t="inlineStr">
        <is>
          <t>賴宗霖</t>
        </is>
      </c>
      <c r="C19" s="4" t="inlineStr">
        <is>
          <t>業務部</t>
        </is>
      </c>
      <c r="D19" s="4" t="inlineStr">
        <is>
          <t>L4</t>
        </is>
      </c>
      <c r="E19" s="5" t="n">
        <v>41503</v>
      </c>
      <c r="F19" s="4" t="n">
        <v>94000</v>
      </c>
      <c r="G19" s="4" t="inlineStr">
        <is>
          <t>B</t>
        </is>
      </c>
      <c r="H19" s="4">
        <f>DATEDIF(E19,TODAY(),"Y")</f>
        <v/>
      </c>
      <c r="I19" s="5" t="n">
        <v>43213</v>
      </c>
    </row>
    <row r="20">
      <c r="A20" s="2" t="inlineStr">
        <is>
          <t>EMP10019</t>
        </is>
      </c>
      <c r="B20" s="2" t="inlineStr">
        <is>
          <t>高俊廷</t>
        </is>
      </c>
      <c r="C20" s="2" t="inlineStr">
        <is>
          <t>工程部</t>
        </is>
      </c>
      <c r="D20" s="2" t="inlineStr">
        <is>
          <t>L2</t>
        </is>
      </c>
      <c r="E20" s="3" t="n">
        <v>41994</v>
      </c>
      <c r="F20" s="2" t="n">
        <v>54000</v>
      </c>
      <c r="G20" s="2" t="inlineStr">
        <is>
          <t>B</t>
        </is>
      </c>
      <c r="H20" s="2">
        <f>DATEDIF(E20,TODAY(),"Y")</f>
        <v/>
      </c>
      <c r="I20" s="2" t="n"/>
    </row>
    <row r="21">
      <c r="A21" s="4" t="inlineStr">
        <is>
          <t>EMP10020</t>
        </is>
      </c>
      <c r="B21" s="4" t="inlineStr">
        <is>
          <t>蘇美玲</t>
        </is>
      </c>
      <c r="C21" s="4" t="inlineStr">
        <is>
          <t>工程部</t>
        </is>
      </c>
      <c r="D21" s="4" t="inlineStr">
        <is>
          <t>L5</t>
        </is>
      </c>
      <c r="E21" s="5" t="n">
        <v>44498</v>
      </c>
      <c r="F21" s="4" t="n">
        <v>121000</v>
      </c>
      <c r="G21" s="4" t="inlineStr">
        <is>
          <t>B</t>
        </is>
      </c>
      <c r="H21" s="4">
        <f>DATEDIF(E21,TODAY(),"Y")</f>
        <v/>
      </c>
      <c r="I21" s="4" t="n"/>
    </row>
    <row r="22">
      <c r="A22" s="2" t="inlineStr">
        <is>
          <t>EMP10021</t>
        </is>
      </c>
      <c r="B22" s="2" t="inlineStr">
        <is>
          <t>葉宗霖</t>
        </is>
      </c>
      <c r="C22" s="2" t="inlineStr">
        <is>
          <t>人資部</t>
        </is>
      </c>
      <c r="D22" s="2" t="inlineStr">
        <is>
          <t>L3</t>
        </is>
      </c>
      <c r="E22" s="3" t="n">
        <v>45452</v>
      </c>
      <c r="F22" s="2" t="n">
        <v>85000</v>
      </c>
      <c r="G22" s="2" t="inlineStr">
        <is>
          <t>B</t>
        </is>
      </c>
      <c r="H22" s="2">
        <f>DATEDIF(E22,TODAY(),"Y")</f>
        <v/>
      </c>
      <c r="I22" s="2" t="n"/>
    </row>
    <row r="23">
      <c r="A23" s="4" t="inlineStr">
        <is>
          <t>EMP10022</t>
        </is>
      </c>
      <c r="B23" s="4" t="inlineStr">
        <is>
          <t>李淑芬</t>
        </is>
      </c>
      <c r="C23" s="4" t="inlineStr">
        <is>
          <t>工程部</t>
        </is>
      </c>
      <c r="D23" s="4" t="inlineStr">
        <is>
          <t>L6</t>
        </is>
      </c>
      <c r="E23" s="5" t="n">
        <v>41785</v>
      </c>
      <c r="F23" s="4" t="n">
        <v>139000</v>
      </c>
      <c r="G23" s="4" t="inlineStr">
        <is>
          <t>B</t>
        </is>
      </c>
      <c r="H23" s="4">
        <f>DATEDIF(E23,TODAY(),"Y")</f>
        <v/>
      </c>
      <c r="I23" s="4" t="n"/>
    </row>
    <row r="24">
      <c r="A24" s="2" t="inlineStr">
        <is>
          <t>EMP10023</t>
        </is>
      </c>
      <c r="B24" s="2" t="inlineStr">
        <is>
          <t>羅峻豪</t>
        </is>
      </c>
      <c r="C24" s="2" t="inlineStr">
        <is>
          <t>工程部</t>
        </is>
      </c>
      <c r="D24" s="2" t="inlineStr">
        <is>
          <t>L3</t>
        </is>
      </c>
      <c r="E24" s="3" t="n">
        <v>42576</v>
      </c>
      <c r="F24" s="2" t="n">
        <v>71000</v>
      </c>
      <c r="G24" s="2" t="inlineStr">
        <is>
          <t>C</t>
        </is>
      </c>
      <c r="H24" s="2">
        <f>DATEDIF(E24,TODAY(),"Y")</f>
        <v/>
      </c>
      <c r="I24" s="2" t="n"/>
    </row>
    <row r="25">
      <c r="A25" s="4" t="inlineStr">
        <is>
          <t>EMP10024</t>
        </is>
      </c>
      <c r="B25" s="4" t="inlineStr">
        <is>
          <t>何淑芬</t>
        </is>
      </c>
      <c r="C25" s="4" t="inlineStr">
        <is>
          <t>業務部</t>
        </is>
      </c>
      <c r="D25" s="4" t="inlineStr">
        <is>
          <t>L3</t>
        </is>
      </c>
      <c r="E25" s="5" t="n">
        <v>41325</v>
      </c>
      <c r="F25" s="4" t="n">
        <v>73000</v>
      </c>
      <c r="G25" s="4" t="inlineStr">
        <is>
          <t>D</t>
        </is>
      </c>
      <c r="H25" s="4">
        <f>DATEDIF(E25,TODAY(),"Y")</f>
        <v/>
      </c>
      <c r="I25" s="5" t="n">
        <v>42675</v>
      </c>
    </row>
    <row r="26">
      <c r="A26" s="2" t="inlineStr">
        <is>
          <t>EMP10025</t>
        </is>
      </c>
      <c r="B26" s="2" t="inlineStr">
        <is>
          <t>郭蕙如</t>
        </is>
      </c>
      <c r="C26" s="2" t="inlineStr">
        <is>
          <t>法務部</t>
        </is>
      </c>
      <c r="D26" s="2" t="inlineStr">
        <is>
          <t>L2</t>
        </is>
      </c>
      <c r="E26" s="3" t="n">
        <v>43054</v>
      </c>
      <c r="F26" s="2" t="n">
        <v>58000</v>
      </c>
      <c r="G26" s="2" t="inlineStr">
        <is>
          <t>C</t>
        </is>
      </c>
      <c r="H26" s="2">
        <f>DATEDIF(E26,TODAY(),"Y")</f>
        <v/>
      </c>
      <c r="I26" s="2" t="n"/>
    </row>
    <row r="27">
      <c r="A27" s="4" t="inlineStr">
        <is>
          <t>EMP10026</t>
        </is>
      </c>
      <c r="B27" s="4" t="inlineStr">
        <is>
          <t>蘇敏慧</t>
        </is>
      </c>
      <c r="C27" s="4" t="inlineStr">
        <is>
          <t>人資部</t>
        </is>
      </c>
      <c r="D27" s="4" t="inlineStr">
        <is>
          <t>L4</t>
        </is>
      </c>
      <c r="E27" s="5" t="n">
        <v>41525</v>
      </c>
      <c r="F27" s="4" t="n">
        <v>102000</v>
      </c>
      <c r="G27" s="4" t="inlineStr">
        <is>
          <t>A</t>
        </is>
      </c>
      <c r="H27" s="4">
        <f>DATEDIF(E27,TODAY(),"Y")</f>
        <v/>
      </c>
      <c r="I27" s="4" t="n"/>
    </row>
    <row r="28">
      <c r="A28" s="2" t="inlineStr">
        <is>
          <t>EMP10027</t>
        </is>
      </c>
      <c r="B28" s="2" t="inlineStr">
        <is>
          <t>林美玲</t>
        </is>
      </c>
      <c r="C28" s="2" t="inlineStr">
        <is>
          <t>工程部</t>
        </is>
      </c>
      <c r="D28" s="2" t="inlineStr">
        <is>
          <t>L3</t>
        </is>
      </c>
      <c r="E28" s="3" t="n">
        <v>42122</v>
      </c>
      <c r="F28" s="2" t="n">
        <v>76000</v>
      </c>
      <c r="G28" s="2" t="inlineStr">
        <is>
          <t>B</t>
        </is>
      </c>
      <c r="H28" s="2">
        <f>DATEDIF(E28,TODAY(),"Y")</f>
        <v/>
      </c>
      <c r="I28" s="2" t="n"/>
    </row>
    <row r="29">
      <c r="A29" s="4" t="inlineStr">
        <is>
          <t>EMP10028</t>
        </is>
      </c>
      <c r="B29" s="4" t="inlineStr">
        <is>
          <t>葉宗霖</t>
        </is>
      </c>
      <c r="C29" s="4" t="inlineStr">
        <is>
          <t>行銷部</t>
        </is>
      </c>
      <c r="D29" s="4" t="inlineStr">
        <is>
          <t>L3</t>
        </is>
      </c>
      <c r="E29" s="5" t="n">
        <v>42629</v>
      </c>
      <c r="F29" s="4" t="n">
        <v>66000</v>
      </c>
      <c r="G29" s="4" t="inlineStr">
        <is>
          <t>C</t>
        </is>
      </c>
      <c r="H29" s="4">
        <f>DATEDIF(E29,TODAY(),"Y")</f>
        <v/>
      </c>
      <c r="I29" s="4" t="n"/>
    </row>
    <row r="30">
      <c r="A30" s="2" t="inlineStr">
        <is>
          <t>EMP10029</t>
        </is>
      </c>
      <c r="B30" s="2" t="inlineStr">
        <is>
          <t>莊敏慧</t>
        </is>
      </c>
      <c r="C30" s="2" t="inlineStr">
        <is>
          <t>工程部</t>
        </is>
      </c>
      <c r="D30" s="2" t="inlineStr">
        <is>
          <t>L3</t>
        </is>
      </c>
      <c r="E30" s="3" t="n">
        <v>44238</v>
      </c>
      <c r="F30" s="2" t="n">
        <v>82000</v>
      </c>
      <c r="G30" s="2" t="inlineStr">
        <is>
          <t>C</t>
        </is>
      </c>
      <c r="H30" s="2">
        <f>DATEDIF(E30,TODAY(),"Y")</f>
        <v/>
      </c>
      <c r="I30" s="2" t="n"/>
    </row>
    <row r="31">
      <c r="A31" s="4" t="inlineStr">
        <is>
          <t>EMP10030</t>
        </is>
      </c>
      <c r="B31" s="4" t="inlineStr">
        <is>
          <t>陳佩珊</t>
        </is>
      </c>
      <c r="C31" s="4" t="inlineStr">
        <is>
          <t>法務部</t>
        </is>
      </c>
      <c r="D31" s="4" t="inlineStr">
        <is>
          <t>L5</t>
        </is>
      </c>
      <c r="E31" s="5" t="n">
        <v>42359</v>
      </c>
      <c r="F31" s="4" t="n">
        <v>117000</v>
      </c>
      <c r="G31" s="4" t="inlineStr">
        <is>
          <t>C</t>
        </is>
      </c>
      <c r="H31" s="4">
        <f>DATEDIF(E31,TODAY(),"Y")</f>
        <v/>
      </c>
      <c r="I31" s="4" t="n"/>
    </row>
    <row r="32">
      <c r="A32" s="2" t="inlineStr">
        <is>
          <t>EMP10031</t>
        </is>
      </c>
      <c r="B32" s="2" t="inlineStr">
        <is>
          <t>羅雅菁</t>
        </is>
      </c>
      <c r="C32" s="2" t="inlineStr">
        <is>
          <t>工程部</t>
        </is>
      </c>
      <c r="D32" s="2" t="inlineStr">
        <is>
          <t>L4</t>
        </is>
      </c>
      <c r="E32" s="3" t="n">
        <v>44281</v>
      </c>
      <c r="F32" s="2" t="n">
        <v>95000</v>
      </c>
      <c r="G32" s="2" t="inlineStr">
        <is>
          <t>C</t>
        </is>
      </c>
      <c r="H32" s="2">
        <f>DATEDIF(E32,TODAY(),"Y")</f>
        <v/>
      </c>
      <c r="I32" s="2" t="n"/>
    </row>
    <row r="33">
      <c r="A33" s="4" t="inlineStr">
        <is>
          <t>EMP10032</t>
        </is>
      </c>
      <c r="B33" s="4" t="inlineStr">
        <is>
          <t>林奕辰</t>
        </is>
      </c>
      <c r="C33" s="4" t="inlineStr">
        <is>
          <t>業務部</t>
        </is>
      </c>
      <c r="D33" s="4" t="inlineStr">
        <is>
          <t>L4</t>
        </is>
      </c>
      <c r="E33" s="5" t="n">
        <v>41794</v>
      </c>
      <c r="F33" s="4" t="n">
        <v>93000</v>
      </c>
      <c r="G33" s="4" t="inlineStr">
        <is>
          <t>B</t>
        </is>
      </c>
      <c r="H33" s="4">
        <f>DATEDIF(E33,TODAY(),"Y")</f>
        <v/>
      </c>
      <c r="I33" s="4" t="n"/>
    </row>
    <row r="34">
      <c r="A34" s="2" t="inlineStr">
        <is>
          <t>EMP10033</t>
        </is>
      </c>
      <c r="B34" s="2" t="inlineStr">
        <is>
          <t>葉俊傑</t>
        </is>
      </c>
      <c r="C34" s="2" t="inlineStr">
        <is>
          <t>工程部</t>
        </is>
      </c>
      <c r="D34" s="2" t="inlineStr">
        <is>
          <t>L2</t>
        </is>
      </c>
      <c r="E34" s="3" t="n">
        <v>42773</v>
      </c>
      <c r="F34" s="2" t="n">
        <v>62000</v>
      </c>
      <c r="G34" s="2" t="inlineStr">
        <is>
          <t>B</t>
        </is>
      </c>
      <c r="H34" s="2">
        <f>DATEDIF(E34,TODAY(),"Y")</f>
        <v/>
      </c>
      <c r="I34" s="2" t="n"/>
    </row>
    <row r="35">
      <c r="A35" s="4" t="inlineStr">
        <is>
          <t>EMP10034</t>
        </is>
      </c>
      <c r="B35" s="4" t="inlineStr">
        <is>
          <t>曾怡君</t>
        </is>
      </c>
      <c r="C35" s="4" t="inlineStr">
        <is>
          <t>工程部</t>
        </is>
      </c>
      <c r="D35" s="4" t="inlineStr">
        <is>
          <t>L3</t>
        </is>
      </c>
      <c r="E35" s="5" t="n">
        <v>43195</v>
      </c>
      <c r="F35" s="4" t="n">
        <v>73000</v>
      </c>
      <c r="G35" s="4" t="inlineStr">
        <is>
          <t>C</t>
        </is>
      </c>
      <c r="H35" s="4">
        <f>DATEDIF(E35,TODAY(),"Y")</f>
        <v/>
      </c>
      <c r="I35" s="4" t="n"/>
    </row>
    <row r="36">
      <c r="A36" s="2" t="inlineStr">
        <is>
          <t>EMP10035</t>
        </is>
      </c>
      <c r="B36" s="2" t="inlineStr">
        <is>
          <t>王瑞玲</t>
        </is>
      </c>
      <c r="C36" s="2" t="inlineStr">
        <is>
          <t>人資部</t>
        </is>
      </c>
      <c r="D36" s="2" t="inlineStr">
        <is>
          <t>L4</t>
        </is>
      </c>
      <c r="E36" s="3" t="n">
        <v>41135</v>
      </c>
      <c r="F36" s="2" t="n">
        <v>102000</v>
      </c>
      <c r="G36" s="2" t="inlineStr">
        <is>
          <t>B</t>
        </is>
      </c>
      <c r="H36" s="2">
        <f>DATEDIF(E36,TODAY(),"Y")</f>
        <v/>
      </c>
      <c r="I36" s="3" t="n">
        <v>42155</v>
      </c>
    </row>
    <row r="37">
      <c r="A37" s="4" t="inlineStr">
        <is>
          <t>EMP10036</t>
        </is>
      </c>
      <c r="B37" s="4" t="inlineStr">
        <is>
          <t>江柏翰</t>
        </is>
      </c>
      <c r="C37" s="4" t="inlineStr">
        <is>
          <t>產品部</t>
        </is>
      </c>
      <c r="D37" s="4" t="inlineStr">
        <is>
          <t>L6</t>
        </is>
      </c>
      <c r="E37" s="5" t="n">
        <v>44468</v>
      </c>
      <c r="F37" s="4" t="n">
        <v>143000</v>
      </c>
      <c r="G37" s="4" t="inlineStr">
        <is>
          <t>A</t>
        </is>
      </c>
      <c r="H37" s="4">
        <f>DATEDIF(E37,TODAY(),"Y")</f>
        <v/>
      </c>
      <c r="I37" s="4" t="n"/>
    </row>
    <row r="38">
      <c r="A38" s="2" t="inlineStr">
        <is>
          <t>EMP10037</t>
        </is>
      </c>
      <c r="B38" s="2" t="inlineStr">
        <is>
          <t>蘇淑貞</t>
        </is>
      </c>
      <c r="C38" s="2" t="inlineStr">
        <is>
          <t>產品部</t>
        </is>
      </c>
      <c r="D38" s="2" t="inlineStr">
        <is>
          <t>L3</t>
        </is>
      </c>
      <c r="E38" s="3" t="n">
        <v>42466</v>
      </c>
      <c r="F38" s="2" t="n">
        <v>81000</v>
      </c>
      <c r="G38" s="2" t="inlineStr">
        <is>
          <t>A</t>
        </is>
      </c>
      <c r="H38" s="2">
        <f>DATEDIF(E38,TODAY(),"Y")</f>
        <v/>
      </c>
      <c r="I38" s="2" t="n"/>
    </row>
    <row r="39">
      <c r="A39" s="4" t="inlineStr">
        <is>
          <t>EMP10038</t>
        </is>
      </c>
      <c r="B39" s="4" t="inlineStr">
        <is>
          <t>蕭馨儀</t>
        </is>
      </c>
      <c r="C39" s="4" t="inlineStr">
        <is>
          <t>法務部</t>
        </is>
      </c>
      <c r="D39" s="4" t="inlineStr">
        <is>
          <t>L1</t>
        </is>
      </c>
      <c r="E39" s="5" t="n">
        <v>41482</v>
      </c>
      <c r="F39" s="4" t="n">
        <v>38000</v>
      </c>
      <c r="G39" s="4" t="inlineStr">
        <is>
          <t>B</t>
        </is>
      </c>
      <c r="H39" s="4">
        <f>DATEDIF(E39,TODAY(),"Y")</f>
        <v/>
      </c>
      <c r="I39" s="4" t="n"/>
    </row>
    <row r="40">
      <c r="A40" s="2" t="inlineStr">
        <is>
          <t>EMP10039</t>
        </is>
      </c>
      <c r="B40" s="2" t="inlineStr">
        <is>
          <t>葉冠霖</t>
        </is>
      </c>
      <c r="C40" s="2" t="inlineStr">
        <is>
          <t>工程部</t>
        </is>
      </c>
      <c r="D40" s="2" t="inlineStr">
        <is>
          <t>L4</t>
        </is>
      </c>
      <c r="E40" s="3" t="n">
        <v>43369</v>
      </c>
      <c r="F40" s="2" t="n">
        <v>106000</v>
      </c>
      <c r="G40" s="2" t="inlineStr">
        <is>
          <t>C</t>
        </is>
      </c>
      <c r="H40" s="2">
        <f>DATEDIF(E40,TODAY(),"Y")</f>
        <v/>
      </c>
      <c r="I40" s="2" t="n"/>
    </row>
    <row r="41">
      <c r="A41" s="4" t="inlineStr">
        <is>
          <t>EMP10040</t>
        </is>
      </c>
      <c r="B41" s="4" t="inlineStr">
        <is>
          <t>謝金鳳</t>
        </is>
      </c>
      <c r="C41" s="4" t="inlineStr">
        <is>
          <t>財務部</t>
        </is>
      </c>
      <c r="D41" s="4" t="inlineStr">
        <is>
          <t>L3</t>
        </is>
      </c>
      <c r="E41" s="5" t="n">
        <v>42480</v>
      </c>
      <c r="F41" s="4" t="n">
        <v>74000</v>
      </c>
      <c r="G41" s="4" t="inlineStr">
        <is>
          <t>B</t>
        </is>
      </c>
      <c r="H41" s="4">
        <f>DATEDIF(E41,TODAY(),"Y")</f>
        <v/>
      </c>
      <c r="I41" s="4" t="n"/>
    </row>
    <row r="42">
      <c r="A42" s="2" t="inlineStr">
        <is>
          <t>EMP10041</t>
        </is>
      </c>
      <c r="B42" s="2" t="inlineStr">
        <is>
          <t>何志遠</t>
        </is>
      </c>
      <c r="C42" s="2" t="inlineStr">
        <is>
          <t>財務部</t>
        </is>
      </c>
      <c r="D42" s="2" t="inlineStr">
        <is>
          <t>L4</t>
        </is>
      </c>
      <c r="E42" s="3" t="n">
        <v>43374</v>
      </c>
      <c r="F42" s="2" t="n">
        <v>90000</v>
      </c>
      <c r="G42" s="2" t="inlineStr">
        <is>
          <t>C</t>
        </is>
      </c>
      <c r="H42" s="2">
        <f>DATEDIF(E42,TODAY(),"Y")</f>
        <v/>
      </c>
      <c r="I42" s="2" t="n"/>
    </row>
    <row r="43">
      <c r="A43" s="4" t="inlineStr">
        <is>
          <t>EMP10042</t>
        </is>
      </c>
      <c r="B43" s="4" t="inlineStr">
        <is>
          <t>郭金鳳</t>
        </is>
      </c>
      <c r="C43" s="4" t="inlineStr">
        <is>
          <t>產品部</t>
        </is>
      </c>
      <c r="D43" s="4" t="inlineStr">
        <is>
          <t>L3</t>
        </is>
      </c>
      <c r="E43" s="5" t="n">
        <v>43548</v>
      </c>
      <c r="F43" s="4" t="n">
        <v>71000</v>
      </c>
      <c r="G43" s="4" t="inlineStr">
        <is>
          <t>B</t>
        </is>
      </c>
      <c r="H43" s="4">
        <f>DATEDIF(E43,TODAY(),"Y")</f>
        <v/>
      </c>
      <c r="I43" s="4" t="n"/>
    </row>
    <row r="44">
      <c r="A44" s="2" t="inlineStr">
        <is>
          <t>EMP10043</t>
        </is>
      </c>
      <c r="B44" s="2" t="inlineStr">
        <is>
          <t>楊昱辰</t>
        </is>
      </c>
      <c r="C44" s="2" t="inlineStr">
        <is>
          <t>工程部</t>
        </is>
      </c>
      <c r="D44" s="2" t="inlineStr">
        <is>
          <t>L2</t>
        </is>
      </c>
      <c r="E44" s="3" t="n">
        <v>42299</v>
      </c>
      <c r="F44" s="2" t="n">
        <v>63000</v>
      </c>
      <c r="G44" s="2" t="inlineStr">
        <is>
          <t>C</t>
        </is>
      </c>
      <c r="H44" s="2">
        <f>DATEDIF(E44,TODAY(),"Y")</f>
        <v/>
      </c>
      <c r="I44" s="2" t="n"/>
    </row>
    <row r="45">
      <c r="A45" s="4" t="inlineStr">
        <is>
          <t>EMP10044</t>
        </is>
      </c>
      <c r="B45" s="4" t="inlineStr">
        <is>
          <t>劉俊傑</t>
        </is>
      </c>
      <c r="C45" s="4" t="inlineStr">
        <is>
          <t>業務部</t>
        </is>
      </c>
      <c r="D45" s="4" t="inlineStr">
        <is>
          <t>L4</t>
        </is>
      </c>
      <c r="E45" s="5" t="n">
        <v>42833</v>
      </c>
      <c r="F45" s="4" t="n">
        <v>104000</v>
      </c>
      <c r="G45" s="4" t="inlineStr">
        <is>
          <t>B</t>
        </is>
      </c>
      <c r="H45" s="4">
        <f>DATEDIF(E45,TODAY(),"Y")</f>
        <v/>
      </c>
      <c r="I45" s="4" t="n"/>
    </row>
    <row r="46">
      <c r="A46" s="2" t="inlineStr">
        <is>
          <t>EMP10045</t>
        </is>
      </c>
      <c r="B46" s="2" t="inlineStr">
        <is>
          <t>呂俊廷</t>
        </is>
      </c>
      <c r="C46" s="2" t="inlineStr">
        <is>
          <t>人資部</t>
        </is>
      </c>
      <c r="D46" s="2" t="inlineStr">
        <is>
          <t>L2</t>
        </is>
      </c>
      <c r="E46" s="3" t="n">
        <v>44801</v>
      </c>
      <c r="F46" s="2" t="n">
        <v>49000</v>
      </c>
      <c r="G46" s="2" t="inlineStr">
        <is>
          <t>B</t>
        </is>
      </c>
      <c r="H46" s="2">
        <f>DATEDIF(E46,TODAY(),"Y")</f>
        <v/>
      </c>
      <c r="I46" s="2" t="n"/>
    </row>
    <row r="47">
      <c r="A47" s="4" t="inlineStr">
        <is>
          <t>EMP10046</t>
        </is>
      </c>
      <c r="B47" s="4" t="inlineStr">
        <is>
          <t>劉敏慧</t>
        </is>
      </c>
      <c r="C47" s="4" t="inlineStr">
        <is>
          <t>工程部</t>
        </is>
      </c>
      <c r="D47" s="4" t="inlineStr">
        <is>
          <t>L3</t>
        </is>
      </c>
      <c r="E47" s="5" t="n">
        <v>44054</v>
      </c>
      <c r="F47" s="4" t="n">
        <v>85000</v>
      </c>
      <c r="G47" s="4" t="inlineStr">
        <is>
          <t>B</t>
        </is>
      </c>
      <c r="H47" s="4">
        <f>DATEDIF(E47,TODAY(),"Y")</f>
        <v/>
      </c>
      <c r="I47" s="4" t="n"/>
    </row>
    <row r="48">
      <c r="A48" s="2" t="inlineStr">
        <is>
          <t>EMP10047</t>
        </is>
      </c>
      <c r="B48" s="2" t="inlineStr">
        <is>
          <t>劉佩珊</t>
        </is>
      </c>
      <c r="C48" s="2" t="inlineStr">
        <is>
          <t>業務部</t>
        </is>
      </c>
      <c r="D48" s="2" t="inlineStr">
        <is>
          <t>L4</t>
        </is>
      </c>
      <c r="E48" s="3" t="n">
        <v>41782</v>
      </c>
      <c r="F48" s="2" t="n">
        <v>85000</v>
      </c>
      <c r="G48" s="2" t="inlineStr">
        <is>
          <t>C</t>
        </is>
      </c>
      <c r="H48" s="2">
        <f>DATEDIF(E48,TODAY(),"Y")</f>
        <v/>
      </c>
      <c r="I48" s="2" t="n"/>
    </row>
    <row r="49">
      <c r="A49" s="4" t="inlineStr">
        <is>
          <t>EMP10048</t>
        </is>
      </c>
      <c r="B49" s="4" t="inlineStr">
        <is>
          <t>蕭雪瑩</t>
        </is>
      </c>
      <c r="C49" s="4" t="inlineStr">
        <is>
          <t>行銷部</t>
        </is>
      </c>
      <c r="D49" s="4" t="inlineStr">
        <is>
          <t>L4</t>
        </is>
      </c>
      <c r="E49" s="5" t="n">
        <v>41320</v>
      </c>
      <c r="F49" s="4" t="n">
        <v>107000</v>
      </c>
      <c r="G49" s="4" t="inlineStr">
        <is>
          <t>B</t>
        </is>
      </c>
      <c r="H49" s="4">
        <f>DATEDIF(E49,TODAY(),"Y")</f>
        <v/>
      </c>
      <c r="I49" s="4" t="n"/>
    </row>
    <row r="50">
      <c r="A50" s="2" t="inlineStr">
        <is>
          <t>EMP10049</t>
        </is>
      </c>
      <c r="B50" s="2" t="inlineStr">
        <is>
          <t>高啟誠</t>
        </is>
      </c>
      <c r="C50" s="2" t="inlineStr">
        <is>
          <t>產品部</t>
        </is>
      </c>
      <c r="D50" s="2" t="inlineStr">
        <is>
          <t>L3</t>
        </is>
      </c>
      <c r="E50" s="3" t="n">
        <v>43508</v>
      </c>
      <c r="F50" s="2" t="n">
        <v>79000</v>
      </c>
      <c r="G50" s="2" t="inlineStr">
        <is>
          <t>C</t>
        </is>
      </c>
      <c r="H50" s="2">
        <f>DATEDIF(E50,TODAY(),"Y")</f>
        <v/>
      </c>
      <c r="I50" s="2" t="n"/>
    </row>
    <row r="51">
      <c r="A51" s="4" t="inlineStr">
        <is>
          <t>EMP10050</t>
        </is>
      </c>
      <c r="B51" s="4" t="inlineStr">
        <is>
          <t>王雅菁</t>
        </is>
      </c>
      <c r="C51" s="4" t="inlineStr">
        <is>
          <t>行銷部</t>
        </is>
      </c>
      <c r="D51" s="4" t="inlineStr">
        <is>
          <t>L3</t>
        </is>
      </c>
      <c r="E51" s="5" t="n">
        <v>45397</v>
      </c>
      <c r="F51" s="4" t="n">
        <v>81000</v>
      </c>
      <c r="G51" s="4" t="inlineStr">
        <is>
          <t>B</t>
        </is>
      </c>
      <c r="H51" s="4">
        <f>DATEDIF(E51,TODAY(),"Y")</f>
        <v/>
      </c>
      <c r="I51" s="4" t="n"/>
    </row>
    <row r="52">
      <c r="A52" s="2" t="inlineStr">
        <is>
          <t>EMP10051</t>
        </is>
      </c>
      <c r="B52" s="2" t="inlineStr">
        <is>
          <t>蔡巧云</t>
        </is>
      </c>
      <c r="C52" s="2" t="inlineStr">
        <is>
          <t>行銷部</t>
        </is>
      </c>
      <c r="D52" s="2" t="inlineStr">
        <is>
          <t>L4</t>
        </is>
      </c>
      <c r="E52" s="3" t="n">
        <v>42934</v>
      </c>
      <c r="F52" s="2" t="n">
        <v>99000</v>
      </c>
      <c r="G52" s="2" t="inlineStr">
        <is>
          <t>B</t>
        </is>
      </c>
      <c r="H52" s="2">
        <f>DATEDIF(E52,TODAY(),"Y")</f>
        <v/>
      </c>
      <c r="I52" s="2" t="n"/>
    </row>
    <row r="53">
      <c r="A53" s="4" t="inlineStr">
        <is>
          <t>EMP10052</t>
        </is>
      </c>
      <c r="B53" s="4" t="inlineStr">
        <is>
          <t>蘇哲維</t>
        </is>
      </c>
      <c r="C53" s="4" t="inlineStr">
        <is>
          <t>行銷部</t>
        </is>
      </c>
      <c r="D53" s="4" t="inlineStr">
        <is>
          <t>L4</t>
        </is>
      </c>
      <c r="E53" s="5" t="n">
        <v>43158</v>
      </c>
      <c r="F53" s="4" t="n">
        <v>100000</v>
      </c>
      <c r="G53" s="4" t="inlineStr">
        <is>
          <t>C</t>
        </is>
      </c>
      <c r="H53" s="4">
        <f>DATEDIF(E53,TODAY(),"Y")</f>
        <v/>
      </c>
      <c r="I53" s="4" t="n"/>
    </row>
    <row r="54">
      <c r="A54" s="2" t="inlineStr">
        <is>
          <t>EMP10053</t>
        </is>
      </c>
      <c r="B54" s="2" t="inlineStr">
        <is>
          <t>劉彥廷</t>
        </is>
      </c>
      <c r="C54" s="2" t="inlineStr">
        <is>
          <t>行銷部</t>
        </is>
      </c>
      <c r="D54" s="2" t="inlineStr">
        <is>
          <t>L2</t>
        </is>
      </c>
      <c r="E54" s="3" t="n">
        <v>45333</v>
      </c>
      <c r="F54" s="2" t="n">
        <v>58000</v>
      </c>
      <c r="G54" s="2" t="inlineStr">
        <is>
          <t>B</t>
        </is>
      </c>
      <c r="H54" s="2">
        <f>DATEDIF(E54,TODAY(),"Y")</f>
        <v/>
      </c>
      <c r="I54" s="3" t="n">
        <v>45657</v>
      </c>
    </row>
    <row r="55">
      <c r="A55" s="4" t="inlineStr">
        <is>
          <t>EMP10054</t>
        </is>
      </c>
      <c r="B55" s="4" t="inlineStr">
        <is>
          <t>廖雅雯</t>
        </is>
      </c>
      <c r="C55" s="4" t="inlineStr">
        <is>
          <t>業務部</t>
        </is>
      </c>
      <c r="D55" s="4" t="inlineStr">
        <is>
          <t>L4</t>
        </is>
      </c>
      <c r="E55" s="5" t="n">
        <v>44307</v>
      </c>
      <c r="F55" s="4" t="n">
        <v>107000</v>
      </c>
      <c r="G55" s="4" t="inlineStr">
        <is>
          <t>B</t>
        </is>
      </c>
      <c r="H55" s="4">
        <f>DATEDIF(E55,TODAY(),"Y")</f>
        <v/>
      </c>
      <c r="I55" s="4" t="n"/>
    </row>
    <row r="56">
      <c r="A56" s="2" t="inlineStr">
        <is>
          <t>EMP10055</t>
        </is>
      </c>
      <c r="B56" s="2" t="inlineStr">
        <is>
          <t>賴耀德</t>
        </is>
      </c>
      <c r="C56" s="2" t="inlineStr">
        <is>
          <t>工程部</t>
        </is>
      </c>
      <c r="D56" s="2" t="inlineStr">
        <is>
          <t>L3</t>
        </is>
      </c>
      <c r="E56" s="3" t="n">
        <v>44099</v>
      </c>
      <c r="F56" s="2" t="n">
        <v>71000</v>
      </c>
      <c r="G56" s="2" t="inlineStr">
        <is>
          <t>C</t>
        </is>
      </c>
      <c r="H56" s="2">
        <f>DATEDIF(E56,TODAY(),"Y")</f>
        <v/>
      </c>
      <c r="I56" s="2" t="n"/>
    </row>
    <row r="57">
      <c r="A57" s="4" t="inlineStr">
        <is>
          <t>EMP10056</t>
        </is>
      </c>
      <c r="B57" s="4" t="inlineStr">
        <is>
          <t>謝冠霖</t>
        </is>
      </c>
      <c r="C57" s="4" t="inlineStr">
        <is>
          <t>工程部</t>
        </is>
      </c>
      <c r="D57" s="4" t="inlineStr">
        <is>
          <t>L1</t>
        </is>
      </c>
      <c r="E57" s="5" t="n">
        <v>43790</v>
      </c>
      <c r="F57" s="4" t="n">
        <v>44000</v>
      </c>
      <c r="G57" s="4" t="inlineStr">
        <is>
          <t>B</t>
        </is>
      </c>
      <c r="H57" s="4">
        <f>DATEDIF(E57,TODAY(),"Y")</f>
        <v/>
      </c>
      <c r="I57" s="4" t="n"/>
    </row>
    <row r="58">
      <c r="A58" s="2" t="inlineStr">
        <is>
          <t>EMP10057</t>
        </is>
      </c>
      <c r="B58" s="2" t="inlineStr">
        <is>
          <t>蔡淑貞</t>
        </is>
      </c>
      <c r="C58" s="2" t="inlineStr">
        <is>
          <t>人資部</t>
        </is>
      </c>
      <c r="D58" s="2" t="inlineStr">
        <is>
          <t>L3</t>
        </is>
      </c>
      <c r="E58" s="3" t="n">
        <v>42715</v>
      </c>
      <c r="F58" s="2" t="n">
        <v>82000</v>
      </c>
      <c r="G58" s="2" t="inlineStr">
        <is>
          <t>C</t>
        </is>
      </c>
      <c r="H58" s="2">
        <f>DATEDIF(E58,TODAY(),"Y")</f>
        <v/>
      </c>
      <c r="I58" s="2" t="n"/>
    </row>
    <row r="59">
      <c r="A59" s="4" t="inlineStr">
        <is>
          <t>EMP10058</t>
        </is>
      </c>
      <c r="B59" s="4" t="inlineStr">
        <is>
          <t>何雅雯</t>
        </is>
      </c>
      <c r="C59" s="4" t="inlineStr">
        <is>
          <t>法務部</t>
        </is>
      </c>
      <c r="D59" s="4" t="inlineStr">
        <is>
          <t>L4</t>
        </is>
      </c>
      <c r="E59" s="5" t="n">
        <v>44221</v>
      </c>
      <c r="F59" s="4" t="n">
        <v>97000</v>
      </c>
      <c r="G59" s="4" t="inlineStr">
        <is>
          <t>B</t>
        </is>
      </c>
      <c r="H59" s="4">
        <f>DATEDIF(E59,TODAY(),"Y")</f>
        <v/>
      </c>
      <c r="I59" s="4" t="n"/>
    </row>
    <row r="60">
      <c r="A60" s="2" t="inlineStr">
        <is>
          <t>EMP10059</t>
        </is>
      </c>
      <c r="B60" s="2" t="inlineStr">
        <is>
          <t>葉佳音</t>
        </is>
      </c>
      <c r="C60" s="2" t="inlineStr">
        <is>
          <t>工程部</t>
        </is>
      </c>
      <c r="D60" s="2" t="inlineStr">
        <is>
          <t>L5</t>
        </is>
      </c>
      <c r="E60" s="3" t="n">
        <v>44136</v>
      </c>
      <c r="F60" s="2" t="n">
        <v>129000</v>
      </c>
      <c r="G60" s="2" t="inlineStr">
        <is>
          <t>B</t>
        </is>
      </c>
      <c r="H60" s="2">
        <f>DATEDIF(E60,TODAY(),"Y")</f>
        <v/>
      </c>
      <c r="I60" s="2" t="n"/>
    </row>
    <row r="61">
      <c r="A61" s="4" t="inlineStr">
        <is>
          <t>EMP10060</t>
        </is>
      </c>
      <c r="B61" s="4" t="inlineStr">
        <is>
          <t>蔡彥廷</t>
        </is>
      </c>
      <c r="C61" s="4" t="inlineStr">
        <is>
          <t>產品部</t>
        </is>
      </c>
      <c r="D61" s="4" t="inlineStr">
        <is>
          <t>L2</t>
        </is>
      </c>
      <c r="E61" s="5" t="n">
        <v>44691</v>
      </c>
      <c r="F61" s="4" t="n">
        <v>61000</v>
      </c>
      <c r="G61" s="4" t="inlineStr">
        <is>
          <t>A</t>
        </is>
      </c>
      <c r="H61" s="4">
        <f>DATEDIF(E61,TODAY(),"Y")</f>
        <v/>
      </c>
      <c r="I61" s="4" t="n"/>
    </row>
    <row r="62">
      <c r="A62" s="2" t="inlineStr">
        <is>
          <t>EMP10061</t>
        </is>
      </c>
      <c r="B62" s="2" t="inlineStr">
        <is>
          <t>何冠霖</t>
        </is>
      </c>
      <c r="C62" s="2" t="inlineStr">
        <is>
          <t>行銷部</t>
        </is>
      </c>
      <c r="D62" s="2" t="inlineStr">
        <is>
          <t>L2</t>
        </is>
      </c>
      <c r="E62" s="3" t="n">
        <v>44014</v>
      </c>
      <c r="F62" s="2" t="n">
        <v>62000</v>
      </c>
      <c r="G62" s="2" t="inlineStr">
        <is>
          <t>B</t>
        </is>
      </c>
      <c r="H62" s="2">
        <f>DATEDIF(E62,TODAY(),"Y")</f>
        <v/>
      </c>
      <c r="I62" s="2" t="n"/>
    </row>
    <row r="63">
      <c r="A63" s="4" t="inlineStr">
        <is>
          <t>EMP10062</t>
        </is>
      </c>
      <c r="B63" s="4" t="inlineStr">
        <is>
          <t>劉麗君</t>
        </is>
      </c>
      <c r="C63" s="4" t="inlineStr">
        <is>
          <t>工程部</t>
        </is>
      </c>
      <c r="D63" s="4" t="inlineStr">
        <is>
          <t>L3</t>
        </is>
      </c>
      <c r="E63" s="5" t="n">
        <v>45327</v>
      </c>
      <c r="F63" s="4" t="n">
        <v>67000</v>
      </c>
      <c r="G63" s="4" t="inlineStr">
        <is>
          <t>B</t>
        </is>
      </c>
      <c r="H63" s="4">
        <f>DATEDIF(E63,TODAY(),"Y")</f>
        <v/>
      </c>
      <c r="I63" s="5" t="n">
        <v>45657</v>
      </c>
    </row>
    <row r="64">
      <c r="A64" s="2" t="inlineStr">
        <is>
          <t>EMP10063</t>
        </is>
      </c>
      <c r="B64" s="2" t="inlineStr">
        <is>
          <t>陳芳吟</t>
        </is>
      </c>
      <c r="C64" s="2" t="inlineStr">
        <is>
          <t>人資部</t>
        </is>
      </c>
      <c r="D64" s="2" t="inlineStr">
        <is>
          <t>L1</t>
        </is>
      </c>
      <c r="E64" s="3" t="n">
        <v>42934</v>
      </c>
      <c r="F64" s="2" t="n">
        <v>33000</v>
      </c>
      <c r="G64" s="2" t="inlineStr">
        <is>
          <t>C</t>
        </is>
      </c>
      <c r="H64" s="2">
        <f>DATEDIF(E64,TODAY(),"Y")</f>
        <v/>
      </c>
      <c r="I64" s="2" t="n"/>
    </row>
    <row r="65">
      <c r="A65" s="4" t="inlineStr">
        <is>
          <t>EMP10064</t>
        </is>
      </c>
      <c r="B65" s="4" t="inlineStr">
        <is>
          <t>吳雅雯</t>
        </is>
      </c>
      <c r="C65" s="4" t="inlineStr">
        <is>
          <t>財務部</t>
        </is>
      </c>
      <c r="D65" s="4" t="inlineStr">
        <is>
          <t>L2</t>
        </is>
      </c>
      <c r="E65" s="5" t="n">
        <v>41846</v>
      </c>
      <c r="F65" s="4" t="n">
        <v>52000</v>
      </c>
      <c r="G65" s="4" t="inlineStr">
        <is>
          <t>B</t>
        </is>
      </c>
      <c r="H65" s="4">
        <f>DATEDIF(E65,TODAY(),"Y")</f>
        <v/>
      </c>
      <c r="I65" s="4" t="n"/>
    </row>
    <row r="66">
      <c r="A66" s="2" t="inlineStr">
        <is>
          <t>EMP10065</t>
        </is>
      </c>
      <c r="B66" s="2" t="inlineStr">
        <is>
          <t>王美玲</t>
        </is>
      </c>
      <c r="C66" s="2" t="inlineStr">
        <is>
          <t>業務部</t>
        </is>
      </c>
      <c r="D66" s="2" t="inlineStr">
        <is>
          <t>L4</t>
        </is>
      </c>
      <c r="E66" s="3" t="n">
        <v>41847</v>
      </c>
      <c r="F66" s="2" t="n">
        <v>109000</v>
      </c>
      <c r="G66" s="2" t="inlineStr">
        <is>
          <t>B</t>
        </is>
      </c>
      <c r="H66" s="2">
        <f>DATEDIF(E66,TODAY(),"Y")</f>
        <v/>
      </c>
      <c r="I66" s="2" t="n"/>
    </row>
    <row r="67">
      <c r="A67" s="4" t="inlineStr">
        <is>
          <t>EMP10066</t>
        </is>
      </c>
      <c r="B67" s="4" t="inlineStr">
        <is>
          <t>蘇俊傑</t>
        </is>
      </c>
      <c r="C67" s="4" t="inlineStr">
        <is>
          <t>產品部</t>
        </is>
      </c>
      <c r="D67" s="4" t="inlineStr">
        <is>
          <t>L2</t>
        </is>
      </c>
      <c r="E67" s="5" t="n">
        <v>43983</v>
      </c>
      <c r="F67" s="4" t="n">
        <v>48000</v>
      </c>
      <c r="G67" s="4" t="inlineStr">
        <is>
          <t>D</t>
        </is>
      </c>
      <c r="H67" s="4">
        <f>DATEDIF(E67,TODAY(),"Y")</f>
        <v/>
      </c>
      <c r="I67" s="4" t="n"/>
    </row>
    <row r="68">
      <c r="A68" s="2" t="inlineStr">
        <is>
          <t>EMP10067</t>
        </is>
      </c>
      <c r="B68" s="2" t="inlineStr">
        <is>
          <t>徐雪瑩</t>
        </is>
      </c>
      <c r="C68" s="2" t="inlineStr">
        <is>
          <t>業務部</t>
        </is>
      </c>
      <c r="D68" s="2" t="inlineStr">
        <is>
          <t>L2</t>
        </is>
      </c>
      <c r="E68" s="3" t="n">
        <v>43379</v>
      </c>
      <c r="F68" s="2" t="n">
        <v>55000</v>
      </c>
      <c r="G68" s="2" t="inlineStr">
        <is>
          <t>A</t>
        </is>
      </c>
      <c r="H68" s="2">
        <f>DATEDIF(E68,TODAY(),"Y")</f>
        <v/>
      </c>
      <c r="I68" s="2" t="n"/>
    </row>
    <row r="69">
      <c r="A69" s="4" t="inlineStr">
        <is>
          <t>EMP10068</t>
        </is>
      </c>
      <c r="B69" s="4" t="inlineStr">
        <is>
          <t>葉婉如</t>
        </is>
      </c>
      <c r="C69" s="4" t="inlineStr">
        <is>
          <t>工程部</t>
        </is>
      </c>
      <c r="D69" s="4" t="inlineStr">
        <is>
          <t>L4</t>
        </is>
      </c>
      <c r="E69" s="5" t="n">
        <v>43753</v>
      </c>
      <c r="F69" s="4" t="n">
        <v>103000</v>
      </c>
      <c r="G69" s="4" t="inlineStr">
        <is>
          <t>C</t>
        </is>
      </c>
      <c r="H69" s="4">
        <f>DATEDIF(E69,TODAY(),"Y")</f>
        <v/>
      </c>
      <c r="I69" s="4" t="n"/>
    </row>
    <row r="70">
      <c r="A70" s="2" t="inlineStr">
        <is>
          <t>EMP10069</t>
        </is>
      </c>
      <c r="B70" s="2" t="inlineStr">
        <is>
          <t>張淑貞</t>
        </is>
      </c>
      <c r="C70" s="2" t="inlineStr">
        <is>
          <t>工程部</t>
        </is>
      </c>
      <c r="D70" s="2" t="inlineStr">
        <is>
          <t>L2</t>
        </is>
      </c>
      <c r="E70" s="3" t="n">
        <v>44350</v>
      </c>
      <c r="F70" s="2" t="n">
        <v>58000</v>
      </c>
      <c r="G70" s="2" t="inlineStr">
        <is>
          <t>A</t>
        </is>
      </c>
      <c r="H70" s="2">
        <f>DATEDIF(E70,TODAY(),"Y")</f>
        <v/>
      </c>
      <c r="I70" s="2" t="n"/>
    </row>
    <row r="71">
      <c r="A71" s="4" t="inlineStr">
        <is>
          <t>EMP10070</t>
        </is>
      </c>
      <c r="B71" s="4" t="inlineStr">
        <is>
          <t>洪佩珊</t>
        </is>
      </c>
      <c r="C71" s="4" t="inlineStr">
        <is>
          <t>財務部</t>
        </is>
      </c>
      <c r="D71" s="4" t="inlineStr">
        <is>
          <t>L6</t>
        </is>
      </c>
      <c r="E71" s="5" t="n">
        <v>44675</v>
      </c>
      <c r="F71" s="4" t="n">
        <v>155000</v>
      </c>
      <c r="G71" s="4" t="inlineStr">
        <is>
          <t>C</t>
        </is>
      </c>
      <c r="H71" s="4">
        <f>DATEDIF(E71,TODAY(),"Y")</f>
        <v/>
      </c>
      <c r="I71" s="4" t="n"/>
    </row>
    <row r="72">
      <c r="A72" s="2" t="inlineStr">
        <is>
          <t>EMP10071</t>
        </is>
      </c>
      <c r="B72" s="2" t="inlineStr">
        <is>
          <t>郭淑貞</t>
        </is>
      </c>
      <c r="C72" s="2" t="inlineStr">
        <is>
          <t>業務部</t>
        </is>
      </c>
      <c r="D72" s="2" t="inlineStr">
        <is>
          <t>L4</t>
        </is>
      </c>
      <c r="E72" s="3" t="n">
        <v>45317</v>
      </c>
      <c r="F72" s="2" t="n">
        <v>105000</v>
      </c>
      <c r="G72" s="2" t="inlineStr">
        <is>
          <t>B</t>
        </is>
      </c>
      <c r="H72" s="2">
        <f>DATEDIF(E72,TODAY(),"Y")</f>
        <v/>
      </c>
      <c r="I72" s="2" t="n"/>
    </row>
    <row r="73">
      <c r="A73" s="4" t="inlineStr">
        <is>
          <t>EMP10072</t>
        </is>
      </c>
      <c r="B73" s="4" t="inlineStr">
        <is>
          <t>黃淑芬</t>
        </is>
      </c>
      <c r="C73" s="4" t="inlineStr">
        <is>
          <t>財務部</t>
        </is>
      </c>
      <c r="D73" s="4" t="inlineStr">
        <is>
          <t>L4</t>
        </is>
      </c>
      <c r="E73" s="5" t="n">
        <v>42920</v>
      </c>
      <c r="F73" s="4" t="n">
        <v>103000</v>
      </c>
      <c r="G73" s="4" t="inlineStr">
        <is>
          <t>B</t>
        </is>
      </c>
      <c r="H73" s="4">
        <f>DATEDIF(E73,TODAY(),"Y")</f>
        <v/>
      </c>
      <c r="I73" s="4" t="n"/>
    </row>
    <row r="74">
      <c r="A74" s="2" t="inlineStr">
        <is>
          <t>EMP10073</t>
        </is>
      </c>
      <c r="B74" s="2" t="inlineStr">
        <is>
          <t>邱柏翰</t>
        </is>
      </c>
      <c r="C74" s="2" t="inlineStr">
        <is>
          <t>產品部</t>
        </is>
      </c>
      <c r="D74" s="2" t="inlineStr">
        <is>
          <t>L5</t>
        </is>
      </c>
      <c r="E74" s="3" t="n">
        <v>44013</v>
      </c>
      <c r="F74" s="2" t="n">
        <v>117000</v>
      </c>
      <c r="G74" s="2" t="inlineStr">
        <is>
          <t>C</t>
        </is>
      </c>
      <c r="H74" s="2">
        <f>DATEDIF(E74,TODAY(),"Y")</f>
        <v/>
      </c>
      <c r="I74" s="2" t="n"/>
    </row>
    <row r="75">
      <c r="A75" s="4" t="inlineStr">
        <is>
          <t>EMP10074</t>
        </is>
      </c>
      <c r="B75" s="4" t="inlineStr">
        <is>
          <t>高文軒</t>
        </is>
      </c>
      <c r="C75" s="4" t="inlineStr">
        <is>
          <t>產品部</t>
        </is>
      </c>
      <c r="D75" s="4" t="inlineStr">
        <is>
          <t>L3</t>
        </is>
      </c>
      <c r="E75" s="5" t="n">
        <v>43025</v>
      </c>
      <c r="F75" s="4" t="n">
        <v>71000</v>
      </c>
      <c r="G75" s="4" t="inlineStr">
        <is>
          <t>B</t>
        </is>
      </c>
      <c r="H75" s="4">
        <f>DATEDIF(E75,TODAY(),"Y")</f>
        <v/>
      </c>
      <c r="I75" s="4" t="n"/>
    </row>
    <row r="76">
      <c r="A76" s="2" t="inlineStr">
        <is>
          <t>EMP10075</t>
        </is>
      </c>
      <c r="B76" s="2" t="inlineStr">
        <is>
          <t>黃秀蘭</t>
        </is>
      </c>
      <c r="C76" s="2" t="inlineStr">
        <is>
          <t>財務部</t>
        </is>
      </c>
      <c r="D76" s="2" t="inlineStr">
        <is>
          <t>L4</t>
        </is>
      </c>
      <c r="E76" s="3" t="n">
        <v>45141</v>
      </c>
      <c r="F76" s="2" t="n">
        <v>93000</v>
      </c>
      <c r="G76" s="2" t="inlineStr">
        <is>
          <t>B</t>
        </is>
      </c>
      <c r="H76" s="2">
        <f>DATEDIF(E76,TODAY(),"Y")</f>
        <v/>
      </c>
      <c r="I76" s="2" t="n"/>
    </row>
    <row r="77">
      <c r="A77" s="4" t="inlineStr">
        <is>
          <t>EMP10076</t>
        </is>
      </c>
      <c r="B77" s="4" t="inlineStr">
        <is>
          <t>周麗華</t>
        </is>
      </c>
      <c r="C77" s="4" t="inlineStr">
        <is>
          <t>工程部</t>
        </is>
      </c>
      <c r="D77" s="4" t="inlineStr">
        <is>
          <t>L4</t>
        </is>
      </c>
      <c r="E77" s="5" t="n">
        <v>42877</v>
      </c>
      <c r="F77" s="4" t="n">
        <v>100000</v>
      </c>
      <c r="G77" s="4" t="inlineStr">
        <is>
          <t>B</t>
        </is>
      </c>
      <c r="H77" s="4">
        <f>DATEDIF(E77,TODAY(),"Y")</f>
        <v/>
      </c>
      <c r="I77" s="4" t="n"/>
    </row>
    <row r="78">
      <c r="A78" s="2" t="inlineStr">
        <is>
          <t>EMP10077</t>
        </is>
      </c>
      <c r="B78" s="2" t="inlineStr">
        <is>
          <t>劉美玲</t>
        </is>
      </c>
      <c r="C78" s="2" t="inlineStr">
        <is>
          <t>行銷部</t>
        </is>
      </c>
      <c r="D78" s="2" t="inlineStr">
        <is>
          <t>L3</t>
        </is>
      </c>
      <c r="E78" s="3" t="n">
        <v>42724</v>
      </c>
      <c r="F78" s="2" t="n">
        <v>65000</v>
      </c>
      <c r="G78" s="2" t="inlineStr">
        <is>
          <t>A</t>
        </is>
      </c>
      <c r="H78" s="2">
        <f>DATEDIF(E78,TODAY(),"Y")</f>
        <v/>
      </c>
      <c r="I78" s="2" t="n"/>
    </row>
    <row r="79">
      <c r="A79" s="4" t="inlineStr">
        <is>
          <t>EMP10078</t>
        </is>
      </c>
      <c r="B79" s="4" t="inlineStr">
        <is>
          <t>莊蕙如</t>
        </is>
      </c>
      <c r="C79" s="4" t="inlineStr">
        <is>
          <t>產品部</t>
        </is>
      </c>
      <c r="D79" s="4" t="inlineStr">
        <is>
          <t>L4</t>
        </is>
      </c>
      <c r="E79" s="5" t="n">
        <v>45258</v>
      </c>
      <c r="F79" s="4" t="n">
        <v>96000</v>
      </c>
      <c r="G79" s="4" t="inlineStr">
        <is>
          <t>B</t>
        </is>
      </c>
      <c r="H79" s="4">
        <f>DATEDIF(E79,TODAY(),"Y")</f>
        <v/>
      </c>
      <c r="I79" s="4" t="n"/>
    </row>
    <row r="80">
      <c r="A80" s="2" t="inlineStr">
        <is>
          <t>EMP10079</t>
        </is>
      </c>
      <c r="B80" s="2" t="inlineStr">
        <is>
          <t>莊俊傑</t>
        </is>
      </c>
      <c r="C80" s="2" t="inlineStr">
        <is>
          <t>工程部</t>
        </is>
      </c>
      <c r="D80" s="2" t="inlineStr">
        <is>
          <t>L3</t>
        </is>
      </c>
      <c r="E80" s="3" t="n">
        <v>42968</v>
      </c>
      <c r="F80" s="2" t="n">
        <v>79000</v>
      </c>
      <c r="G80" s="2" t="inlineStr">
        <is>
          <t>B</t>
        </is>
      </c>
      <c r="H80" s="2">
        <f>DATEDIF(E80,TODAY(),"Y")</f>
        <v/>
      </c>
      <c r="I80" s="2" t="n"/>
    </row>
    <row r="81">
      <c r="A81" s="4" t="inlineStr">
        <is>
          <t>EMP10080</t>
        </is>
      </c>
      <c r="B81" s="4" t="inlineStr">
        <is>
          <t>莊奕辰</t>
        </is>
      </c>
      <c r="C81" s="4" t="inlineStr">
        <is>
          <t>法務部</t>
        </is>
      </c>
      <c r="D81" s="4" t="inlineStr">
        <is>
          <t>L3</t>
        </is>
      </c>
      <c r="E81" s="5" t="n">
        <v>42425</v>
      </c>
      <c r="F81" s="4" t="n">
        <v>82000</v>
      </c>
      <c r="G81" s="4" t="inlineStr">
        <is>
          <t>D</t>
        </is>
      </c>
      <c r="H81" s="4">
        <f>DATEDIF(E81,TODAY(),"Y")</f>
        <v/>
      </c>
      <c r="I81" s="4" t="n"/>
    </row>
    <row r="82">
      <c r="A82" s="2" t="inlineStr">
        <is>
          <t>EMP10081</t>
        </is>
      </c>
      <c r="B82" s="2" t="inlineStr">
        <is>
          <t>張俊傑</t>
        </is>
      </c>
      <c r="C82" s="2" t="inlineStr">
        <is>
          <t>產品部</t>
        </is>
      </c>
      <c r="D82" s="2" t="inlineStr">
        <is>
          <t>L3</t>
        </is>
      </c>
      <c r="E82" s="3" t="n">
        <v>45206</v>
      </c>
      <c r="F82" s="2" t="n">
        <v>83000</v>
      </c>
      <c r="G82" s="2" t="inlineStr">
        <is>
          <t>D</t>
        </is>
      </c>
      <c r="H82" s="2">
        <f>DATEDIF(E82,TODAY(),"Y")</f>
        <v/>
      </c>
      <c r="I82" s="2" t="n"/>
    </row>
    <row r="83">
      <c r="A83" s="4" t="inlineStr">
        <is>
          <t>EMP10082</t>
        </is>
      </c>
      <c r="B83" s="4" t="inlineStr">
        <is>
          <t>李淑芬</t>
        </is>
      </c>
      <c r="C83" s="4" t="inlineStr">
        <is>
          <t>業務部</t>
        </is>
      </c>
      <c r="D83" s="4" t="inlineStr">
        <is>
          <t>L3</t>
        </is>
      </c>
      <c r="E83" s="5" t="n">
        <v>41024</v>
      </c>
      <c r="F83" s="4" t="n">
        <v>76000</v>
      </c>
      <c r="G83" s="4" t="inlineStr">
        <is>
          <t>B</t>
        </is>
      </c>
      <c r="H83" s="4">
        <f>DATEDIF(E83,TODAY(),"Y")</f>
        <v/>
      </c>
      <c r="I83" s="4" t="n"/>
    </row>
    <row r="84">
      <c r="A84" s="2" t="inlineStr">
        <is>
          <t>EMP10083</t>
        </is>
      </c>
      <c r="B84" s="2" t="inlineStr">
        <is>
          <t>呂湘婷</t>
        </is>
      </c>
      <c r="C84" s="2" t="inlineStr">
        <is>
          <t>行銷部</t>
        </is>
      </c>
      <c r="D84" s="2" t="inlineStr">
        <is>
          <t>L1</t>
        </is>
      </c>
      <c r="E84" s="3" t="n">
        <v>41943</v>
      </c>
      <c r="F84" s="2" t="n">
        <v>33000</v>
      </c>
      <c r="G84" s="2" t="inlineStr">
        <is>
          <t>B</t>
        </is>
      </c>
      <c r="H84" s="2">
        <f>DATEDIF(E84,TODAY(),"Y")</f>
        <v/>
      </c>
      <c r="I84" s="2" t="n"/>
    </row>
    <row r="85">
      <c r="A85" s="4" t="inlineStr">
        <is>
          <t>EMP10084</t>
        </is>
      </c>
      <c r="B85" s="4" t="inlineStr">
        <is>
          <t>許佩珊</t>
        </is>
      </c>
      <c r="C85" s="4" t="inlineStr">
        <is>
          <t>業務部</t>
        </is>
      </c>
      <c r="D85" s="4" t="inlineStr">
        <is>
          <t>L2</t>
        </is>
      </c>
      <c r="E85" s="5" t="n">
        <v>44754</v>
      </c>
      <c r="F85" s="4" t="n">
        <v>48000</v>
      </c>
      <c r="G85" s="4" t="inlineStr">
        <is>
          <t>B</t>
        </is>
      </c>
      <c r="H85" s="4">
        <f>DATEDIF(E85,TODAY(),"Y")</f>
        <v/>
      </c>
      <c r="I85" s="4" t="n"/>
    </row>
    <row r="86">
      <c r="A86" s="2" t="inlineStr">
        <is>
          <t>EMP10085</t>
        </is>
      </c>
      <c r="B86" s="2" t="inlineStr">
        <is>
          <t>謝湘婷</t>
        </is>
      </c>
      <c r="C86" s="2" t="inlineStr">
        <is>
          <t>業務部</t>
        </is>
      </c>
      <c r="D86" s="2" t="inlineStr">
        <is>
          <t>L6</t>
        </is>
      </c>
      <c r="E86" s="3" t="n">
        <v>44822</v>
      </c>
      <c r="F86" s="2" t="n">
        <v>143000</v>
      </c>
      <c r="G86" s="2" t="inlineStr">
        <is>
          <t>D</t>
        </is>
      </c>
      <c r="H86" s="2">
        <f>DATEDIF(E86,TODAY(),"Y")</f>
        <v/>
      </c>
      <c r="I86" s="3" t="n">
        <v>45482</v>
      </c>
    </row>
    <row r="87">
      <c r="A87" s="4" t="inlineStr">
        <is>
          <t>EMP10086</t>
        </is>
      </c>
      <c r="B87" s="4" t="inlineStr">
        <is>
          <t>張蕙如</t>
        </is>
      </c>
      <c r="C87" s="4" t="inlineStr">
        <is>
          <t>工程部</t>
        </is>
      </c>
      <c r="D87" s="4" t="inlineStr">
        <is>
          <t>L2</t>
        </is>
      </c>
      <c r="E87" s="5" t="n">
        <v>43398</v>
      </c>
      <c r="F87" s="4" t="n">
        <v>49000</v>
      </c>
      <c r="G87" s="4" t="inlineStr">
        <is>
          <t>B</t>
        </is>
      </c>
      <c r="H87" s="4">
        <f>DATEDIF(E87,TODAY(),"Y")</f>
        <v/>
      </c>
      <c r="I87" s="5" t="n">
        <v>44388</v>
      </c>
    </row>
    <row r="88">
      <c r="A88" s="2" t="inlineStr">
        <is>
          <t>EMP10087</t>
        </is>
      </c>
      <c r="B88" s="2" t="inlineStr">
        <is>
          <t>謝啟誠</t>
        </is>
      </c>
      <c r="C88" s="2" t="inlineStr">
        <is>
          <t>工程部</t>
        </is>
      </c>
      <c r="D88" s="2" t="inlineStr">
        <is>
          <t>L4</t>
        </is>
      </c>
      <c r="E88" s="3" t="n">
        <v>42757</v>
      </c>
      <c r="F88" s="2" t="n">
        <v>104000</v>
      </c>
      <c r="G88" s="2" t="inlineStr">
        <is>
          <t>B</t>
        </is>
      </c>
      <c r="H88" s="2">
        <f>DATEDIF(E88,TODAY(),"Y")</f>
        <v/>
      </c>
      <c r="I88" s="2" t="n"/>
    </row>
    <row r="89">
      <c r="A89" s="4" t="inlineStr">
        <is>
          <t>EMP10088</t>
        </is>
      </c>
      <c r="B89" s="4" t="inlineStr">
        <is>
          <t>徐雅婷</t>
        </is>
      </c>
      <c r="C89" s="4" t="inlineStr">
        <is>
          <t>業務部</t>
        </is>
      </c>
      <c r="D89" s="4" t="inlineStr">
        <is>
          <t>L5</t>
        </is>
      </c>
      <c r="E89" s="5" t="n">
        <v>44421</v>
      </c>
      <c r="F89" s="4" t="n">
        <v>119000</v>
      </c>
      <c r="G89" s="4" t="inlineStr">
        <is>
          <t>C</t>
        </is>
      </c>
      <c r="H89" s="4">
        <f>DATEDIF(E89,TODAY(),"Y")</f>
        <v/>
      </c>
      <c r="I89" s="4" t="n"/>
    </row>
    <row r="90">
      <c r="A90" s="2" t="inlineStr">
        <is>
          <t>EMP10089</t>
        </is>
      </c>
      <c r="B90" s="2" t="inlineStr">
        <is>
          <t>蔡勝閎</t>
        </is>
      </c>
      <c r="C90" s="2" t="inlineStr">
        <is>
          <t>業務部</t>
        </is>
      </c>
      <c r="D90" s="2" t="inlineStr">
        <is>
          <t>L3</t>
        </is>
      </c>
      <c r="E90" s="3" t="n">
        <v>42611</v>
      </c>
      <c r="F90" s="2" t="n">
        <v>68000</v>
      </c>
      <c r="G90" s="2" t="inlineStr">
        <is>
          <t>D</t>
        </is>
      </c>
      <c r="H90" s="2">
        <f>DATEDIF(E90,TODAY(),"Y")</f>
        <v/>
      </c>
      <c r="I90" s="2" t="n"/>
    </row>
    <row r="91">
      <c r="A91" s="4" t="inlineStr">
        <is>
          <t>EMP10090</t>
        </is>
      </c>
      <c r="B91" s="4" t="inlineStr">
        <is>
          <t>洪啟誠</t>
        </is>
      </c>
      <c r="C91" s="4" t="inlineStr">
        <is>
          <t>財務部</t>
        </is>
      </c>
      <c r="D91" s="4" t="inlineStr">
        <is>
          <t>L2</t>
        </is>
      </c>
      <c r="E91" s="5" t="n">
        <v>41523</v>
      </c>
      <c r="F91" s="4" t="n">
        <v>55000</v>
      </c>
      <c r="G91" s="4" t="inlineStr">
        <is>
          <t>B</t>
        </is>
      </c>
      <c r="H91" s="4">
        <f>DATEDIF(E91,TODAY(),"Y")</f>
        <v/>
      </c>
      <c r="I91" s="4" t="n"/>
    </row>
    <row r="92">
      <c r="A92" s="2" t="inlineStr">
        <is>
          <t>EMP10091</t>
        </is>
      </c>
      <c r="B92" s="2" t="inlineStr">
        <is>
          <t>楊耀德</t>
        </is>
      </c>
      <c r="C92" s="2" t="inlineStr">
        <is>
          <t>產品部</t>
        </is>
      </c>
      <c r="D92" s="2" t="inlineStr">
        <is>
          <t>L4</t>
        </is>
      </c>
      <c r="E92" s="3" t="n">
        <v>42805</v>
      </c>
      <c r="F92" s="2" t="n">
        <v>100000</v>
      </c>
      <c r="G92" s="2" t="inlineStr">
        <is>
          <t>B</t>
        </is>
      </c>
      <c r="H92" s="2">
        <f>DATEDIF(E92,TODAY(),"Y")</f>
        <v/>
      </c>
      <c r="I92" s="2" t="n"/>
    </row>
    <row r="93">
      <c r="A93" s="4" t="inlineStr">
        <is>
          <t>EMP10092</t>
        </is>
      </c>
      <c r="B93" s="4" t="inlineStr">
        <is>
          <t>周瑞玲</t>
        </is>
      </c>
      <c r="C93" s="4" t="inlineStr">
        <is>
          <t>產品部</t>
        </is>
      </c>
      <c r="D93" s="4" t="inlineStr">
        <is>
          <t>L5</t>
        </is>
      </c>
      <c r="E93" s="5" t="n">
        <v>43076</v>
      </c>
      <c r="F93" s="4" t="n">
        <v>112000</v>
      </c>
      <c r="G93" s="4" t="inlineStr">
        <is>
          <t>C</t>
        </is>
      </c>
      <c r="H93" s="4">
        <f>DATEDIF(E93,TODAY(),"Y")</f>
        <v/>
      </c>
      <c r="I93" s="4" t="n"/>
    </row>
    <row r="94">
      <c r="A94" s="2" t="inlineStr">
        <is>
          <t>EMP10093</t>
        </is>
      </c>
      <c r="B94" s="2" t="inlineStr">
        <is>
          <t>李淑芬</t>
        </is>
      </c>
      <c r="C94" s="2" t="inlineStr">
        <is>
          <t>業務部</t>
        </is>
      </c>
      <c r="D94" s="2" t="inlineStr">
        <is>
          <t>L4</t>
        </is>
      </c>
      <c r="E94" s="3" t="n">
        <v>45370</v>
      </c>
      <c r="F94" s="2" t="n">
        <v>91000</v>
      </c>
      <c r="G94" s="2" t="inlineStr">
        <is>
          <t>B</t>
        </is>
      </c>
      <c r="H94" s="2">
        <f>DATEDIF(E94,TODAY(),"Y")</f>
        <v/>
      </c>
      <c r="I94" s="2" t="n"/>
    </row>
    <row r="95">
      <c r="A95" s="4" t="inlineStr">
        <is>
          <t>EMP10094</t>
        </is>
      </c>
      <c r="B95" s="4" t="inlineStr">
        <is>
          <t>何子豪</t>
        </is>
      </c>
      <c r="C95" s="4" t="inlineStr">
        <is>
          <t>行銷部</t>
        </is>
      </c>
      <c r="D95" s="4" t="inlineStr">
        <is>
          <t>L4</t>
        </is>
      </c>
      <c r="E95" s="5" t="n">
        <v>43428</v>
      </c>
      <c r="F95" s="4" t="n">
        <v>87000</v>
      </c>
      <c r="G95" s="4" t="inlineStr">
        <is>
          <t>A</t>
        </is>
      </c>
      <c r="H95" s="4">
        <f>DATEDIF(E95,TODAY(),"Y")</f>
        <v/>
      </c>
      <c r="I95" s="4" t="n"/>
    </row>
    <row r="96">
      <c r="A96" s="2" t="inlineStr">
        <is>
          <t>EMP10095</t>
        </is>
      </c>
      <c r="B96" s="2" t="inlineStr">
        <is>
          <t>蔡昱辰</t>
        </is>
      </c>
      <c r="C96" s="2" t="inlineStr">
        <is>
          <t>人資部</t>
        </is>
      </c>
      <c r="D96" s="2" t="inlineStr">
        <is>
          <t>L5</t>
        </is>
      </c>
      <c r="E96" s="3" t="n">
        <v>43400</v>
      </c>
      <c r="F96" s="2" t="n">
        <v>124000</v>
      </c>
      <c r="G96" s="2" t="inlineStr">
        <is>
          <t>A</t>
        </is>
      </c>
      <c r="H96" s="2">
        <f>DATEDIF(E96,TODAY(),"Y")</f>
        <v/>
      </c>
      <c r="I96" s="2" t="n"/>
    </row>
    <row r="97">
      <c r="A97" s="4" t="inlineStr">
        <is>
          <t>EMP10096</t>
        </is>
      </c>
      <c r="B97" s="4" t="inlineStr">
        <is>
          <t>莊柏翰</t>
        </is>
      </c>
      <c r="C97" s="4" t="inlineStr">
        <is>
          <t>產品部</t>
        </is>
      </c>
      <c r="D97" s="4" t="inlineStr">
        <is>
          <t>L4</t>
        </is>
      </c>
      <c r="E97" s="5" t="n">
        <v>41235</v>
      </c>
      <c r="F97" s="4" t="n">
        <v>99000</v>
      </c>
      <c r="G97" s="4" t="inlineStr">
        <is>
          <t>A</t>
        </is>
      </c>
      <c r="H97" s="4">
        <f>DATEDIF(E97,TODAY(),"Y")</f>
        <v/>
      </c>
      <c r="I97" s="4" t="n"/>
    </row>
    <row r="98">
      <c r="A98" s="2" t="inlineStr">
        <is>
          <t>EMP10097</t>
        </is>
      </c>
      <c r="B98" s="2" t="inlineStr">
        <is>
          <t>葉淑芬</t>
        </is>
      </c>
      <c r="C98" s="2" t="inlineStr">
        <is>
          <t>工程部</t>
        </is>
      </c>
      <c r="D98" s="2" t="inlineStr">
        <is>
          <t>L4</t>
        </is>
      </c>
      <c r="E98" s="3" t="n">
        <v>41078</v>
      </c>
      <c r="F98" s="2" t="n">
        <v>85000</v>
      </c>
      <c r="G98" s="2" t="inlineStr">
        <is>
          <t>A</t>
        </is>
      </c>
      <c r="H98" s="2">
        <f>DATEDIF(E98,TODAY(),"Y")</f>
        <v/>
      </c>
      <c r="I98" s="2" t="n"/>
    </row>
    <row r="99">
      <c r="A99" s="4" t="inlineStr">
        <is>
          <t>EMP10098</t>
        </is>
      </c>
      <c r="B99" s="4" t="inlineStr">
        <is>
          <t>王瑞玲</t>
        </is>
      </c>
      <c r="C99" s="4" t="inlineStr">
        <is>
          <t>財務部</t>
        </is>
      </c>
      <c r="D99" s="4" t="inlineStr">
        <is>
          <t>L3</t>
        </is>
      </c>
      <c r="E99" s="5" t="n">
        <v>44531</v>
      </c>
      <c r="F99" s="4" t="n">
        <v>70000</v>
      </c>
      <c r="G99" s="4" t="inlineStr">
        <is>
          <t>B</t>
        </is>
      </c>
      <c r="H99" s="4">
        <f>DATEDIF(E99,TODAY(),"Y")</f>
        <v/>
      </c>
      <c r="I99" s="4" t="n"/>
    </row>
    <row r="100">
      <c r="A100" s="2" t="inlineStr">
        <is>
          <t>EMP10099</t>
        </is>
      </c>
      <c r="B100" s="2" t="inlineStr">
        <is>
          <t>許柏翰</t>
        </is>
      </c>
      <c r="C100" s="2" t="inlineStr">
        <is>
          <t>行銷部</t>
        </is>
      </c>
      <c r="D100" s="2" t="inlineStr">
        <is>
          <t>L3</t>
        </is>
      </c>
      <c r="E100" s="3" t="n">
        <v>44759</v>
      </c>
      <c r="F100" s="2" t="n">
        <v>80000</v>
      </c>
      <c r="G100" s="2" t="inlineStr">
        <is>
          <t>D</t>
        </is>
      </c>
      <c r="H100" s="2">
        <f>DATEDIF(E100,TODAY(),"Y")</f>
        <v/>
      </c>
      <c r="I100" s="2" t="n"/>
    </row>
    <row r="101">
      <c r="A101" s="4" t="inlineStr">
        <is>
          <t>EMP10100</t>
        </is>
      </c>
      <c r="B101" s="4" t="inlineStr">
        <is>
          <t>謝世傑</t>
        </is>
      </c>
      <c r="C101" s="4" t="inlineStr">
        <is>
          <t>工程部</t>
        </is>
      </c>
      <c r="D101" s="4" t="inlineStr">
        <is>
          <t>L4</t>
        </is>
      </c>
      <c r="E101" s="5" t="n">
        <v>44967</v>
      </c>
      <c r="F101" s="4" t="n">
        <v>90000</v>
      </c>
      <c r="G101" s="4" t="inlineStr">
        <is>
          <t>B</t>
        </is>
      </c>
      <c r="H101" s="4">
        <f>DATEDIF(E101,TODAY(),"Y")</f>
        <v/>
      </c>
      <c r="I101" s="4" t="n"/>
    </row>
    <row r="102">
      <c r="A102" s="2" t="inlineStr">
        <is>
          <t>EMP10101</t>
        </is>
      </c>
      <c r="B102" s="2" t="inlineStr">
        <is>
          <t>呂怡君</t>
        </is>
      </c>
      <c r="C102" s="2" t="inlineStr">
        <is>
          <t>財務部</t>
        </is>
      </c>
      <c r="D102" s="2" t="inlineStr">
        <is>
          <t>L3</t>
        </is>
      </c>
      <c r="E102" s="3" t="n">
        <v>42976</v>
      </c>
      <c r="F102" s="2" t="n">
        <v>79000</v>
      </c>
      <c r="G102" s="2" t="inlineStr">
        <is>
          <t>A</t>
        </is>
      </c>
      <c r="H102" s="2">
        <f>DATEDIF(E102,TODAY(),"Y")</f>
        <v/>
      </c>
      <c r="I102" s="2" t="n"/>
    </row>
    <row r="103">
      <c r="A103" s="4" t="inlineStr">
        <is>
          <t>EMP10102</t>
        </is>
      </c>
      <c r="B103" s="4" t="inlineStr">
        <is>
          <t>林俊傑</t>
        </is>
      </c>
      <c r="C103" s="4" t="inlineStr">
        <is>
          <t>工程部</t>
        </is>
      </c>
      <c r="D103" s="4" t="inlineStr">
        <is>
          <t>L5</t>
        </is>
      </c>
      <c r="E103" s="5" t="n">
        <v>45353</v>
      </c>
      <c r="F103" s="4" t="n">
        <v>110000</v>
      </c>
      <c r="G103" s="4" t="inlineStr">
        <is>
          <t>C</t>
        </is>
      </c>
      <c r="H103" s="4">
        <f>DATEDIF(E103,TODAY(),"Y")</f>
        <v/>
      </c>
      <c r="I103" s="4" t="n"/>
    </row>
    <row r="104">
      <c r="A104" s="2" t="inlineStr">
        <is>
          <t>EMP10103</t>
        </is>
      </c>
      <c r="B104" s="2" t="inlineStr">
        <is>
          <t>吳淑芬</t>
        </is>
      </c>
      <c r="C104" s="2" t="inlineStr">
        <is>
          <t>工程部</t>
        </is>
      </c>
      <c r="D104" s="2" t="inlineStr">
        <is>
          <t>L3</t>
        </is>
      </c>
      <c r="E104" s="3" t="n">
        <v>44530</v>
      </c>
      <c r="F104" s="2" t="n">
        <v>84000</v>
      </c>
      <c r="G104" s="2" t="inlineStr">
        <is>
          <t>C</t>
        </is>
      </c>
      <c r="H104" s="2">
        <f>DATEDIF(E104,TODAY(),"Y")</f>
        <v/>
      </c>
      <c r="I104" s="2" t="n"/>
    </row>
    <row r="105">
      <c r="A105" s="4" t="inlineStr">
        <is>
          <t>EMP10104</t>
        </is>
      </c>
      <c r="B105" s="4" t="inlineStr">
        <is>
          <t>周文軒</t>
        </is>
      </c>
      <c r="C105" s="4" t="inlineStr">
        <is>
          <t>財務部</t>
        </is>
      </c>
      <c r="D105" s="4" t="inlineStr">
        <is>
          <t>L3</t>
        </is>
      </c>
      <c r="E105" s="5" t="n">
        <v>44879</v>
      </c>
      <c r="F105" s="4" t="n">
        <v>74000</v>
      </c>
      <c r="G105" s="4" t="inlineStr">
        <is>
          <t>B</t>
        </is>
      </c>
      <c r="H105" s="4">
        <f>DATEDIF(E105,TODAY(),"Y")</f>
        <v/>
      </c>
      <c r="I105" s="4" t="n"/>
    </row>
    <row r="106">
      <c r="A106" s="2" t="inlineStr">
        <is>
          <t>EMP10105</t>
        </is>
      </c>
      <c r="B106" s="2" t="inlineStr">
        <is>
          <t>黃文凱</t>
        </is>
      </c>
      <c r="C106" s="2" t="inlineStr">
        <is>
          <t>行銷部</t>
        </is>
      </c>
      <c r="D106" s="2" t="inlineStr">
        <is>
          <t>L4</t>
        </is>
      </c>
      <c r="E106" s="3" t="n">
        <v>45421</v>
      </c>
      <c r="F106" s="2" t="n">
        <v>107000</v>
      </c>
      <c r="G106" s="2" t="inlineStr">
        <is>
          <t>B</t>
        </is>
      </c>
      <c r="H106" s="2">
        <f>DATEDIF(E106,TODAY(),"Y")</f>
        <v/>
      </c>
      <c r="I106" s="3" t="n">
        <v>45657</v>
      </c>
    </row>
    <row r="107">
      <c r="A107" s="4" t="inlineStr">
        <is>
          <t>EMP10106</t>
        </is>
      </c>
      <c r="B107" s="4" t="inlineStr">
        <is>
          <t>李湘婷</t>
        </is>
      </c>
      <c r="C107" s="4" t="inlineStr">
        <is>
          <t>行銷部</t>
        </is>
      </c>
      <c r="D107" s="4" t="inlineStr">
        <is>
          <t>L6</t>
        </is>
      </c>
      <c r="E107" s="5" t="n">
        <v>41871</v>
      </c>
      <c r="F107" s="4" t="n">
        <v>138000</v>
      </c>
      <c r="G107" s="4" t="inlineStr">
        <is>
          <t>B</t>
        </is>
      </c>
      <c r="H107" s="4">
        <f>DATEDIF(E107,TODAY(),"Y")</f>
        <v/>
      </c>
      <c r="I107" s="4" t="n"/>
    </row>
    <row r="108">
      <c r="A108" s="2" t="inlineStr">
        <is>
          <t>EMP10107</t>
        </is>
      </c>
      <c r="B108" s="2" t="inlineStr">
        <is>
          <t>邱奕辰</t>
        </is>
      </c>
      <c r="C108" s="2" t="inlineStr">
        <is>
          <t>業務部</t>
        </is>
      </c>
      <c r="D108" s="2" t="inlineStr">
        <is>
          <t>L5</t>
        </is>
      </c>
      <c r="E108" s="3" t="n">
        <v>43148</v>
      </c>
      <c r="F108" s="2" t="n">
        <v>119000</v>
      </c>
      <c r="G108" s="2" t="inlineStr">
        <is>
          <t>B</t>
        </is>
      </c>
      <c r="H108" s="2">
        <f>DATEDIF(E108,TODAY(),"Y")</f>
        <v/>
      </c>
      <c r="I108" s="2" t="n"/>
    </row>
    <row r="109">
      <c r="A109" s="4" t="inlineStr">
        <is>
          <t>EMP10108</t>
        </is>
      </c>
      <c r="B109" s="4" t="inlineStr">
        <is>
          <t>曾雅菁</t>
        </is>
      </c>
      <c r="C109" s="4" t="inlineStr">
        <is>
          <t>業務部</t>
        </is>
      </c>
      <c r="D109" s="4" t="inlineStr">
        <is>
          <t>L2</t>
        </is>
      </c>
      <c r="E109" s="5" t="n">
        <v>42470</v>
      </c>
      <c r="F109" s="4" t="n">
        <v>65000</v>
      </c>
      <c r="G109" s="4" t="inlineStr">
        <is>
          <t>A</t>
        </is>
      </c>
      <c r="H109" s="4">
        <f>DATEDIF(E109,TODAY(),"Y")</f>
        <v/>
      </c>
      <c r="I109" s="4" t="n"/>
    </row>
    <row r="110">
      <c r="A110" s="2" t="inlineStr">
        <is>
          <t>EMP10109</t>
        </is>
      </c>
      <c r="B110" s="2" t="inlineStr">
        <is>
          <t>江昱辰</t>
        </is>
      </c>
      <c r="C110" s="2" t="inlineStr">
        <is>
          <t>法務部</t>
        </is>
      </c>
      <c r="D110" s="2" t="inlineStr">
        <is>
          <t>L5</t>
        </is>
      </c>
      <c r="E110" s="3" t="n">
        <v>44308</v>
      </c>
      <c r="F110" s="2" t="n">
        <v>112000</v>
      </c>
      <c r="G110" s="2" t="inlineStr">
        <is>
          <t>B</t>
        </is>
      </c>
      <c r="H110" s="2">
        <f>DATEDIF(E110,TODAY(),"Y")</f>
        <v/>
      </c>
      <c r="I110" s="2" t="n"/>
    </row>
    <row r="111">
      <c r="A111" s="4" t="inlineStr">
        <is>
          <t>EMP10110</t>
        </is>
      </c>
      <c r="B111" s="4" t="inlineStr">
        <is>
          <t>賴勝閎</t>
        </is>
      </c>
      <c r="C111" s="4" t="inlineStr">
        <is>
          <t>業務部</t>
        </is>
      </c>
      <c r="D111" s="4" t="inlineStr">
        <is>
          <t>L3</t>
        </is>
      </c>
      <c r="E111" s="5" t="n">
        <v>43354</v>
      </c>
      <c r="F111" s="4" t="n">
        <v>65000</v>
      </c>
      <c r="G111" s="4" t="inlineStr">
        <is>
          <t>B</t>
        </is>
      </c>
      <c r="H111" s="4">
        <f>DATEDIF(E111,TODAY(),"Y")</f>
        <v/>
      </c>
      <c r="I111" s="4" t="n"/>
    </row>
    <row r="112">
      <c r="A112" s="2" t="inlineStr">
        <is>
          <t>EMP10111</t>
        </is>
      </c>
      <c r="B112" s="2" t="inlineStr">
        <is>
          <t>廖世傑</t>
        </is>
      </c>
      <c r="C112" s="2" t="inlineStr">
        <is>
          <t>財務部</t>
        </is>
      </c>
      <c r="D112" s="2" t="inlineStr">
        <is>
          <t>L3</t>
        </is>
      </c>
      <c r="E112" s="3" t="n">
        <v>44876</v>
      </c>
      <c r="F112" s="2" t="n">
        <v>69000</v>
      </c>
      <c r="G112" s="2" t="inlineStr">
        <is>
          <t>B</t>
        </is>
      </c>
      <c r="H112" s="2">
        <f>DATEDIF(E112,TODAY(),"Y")</f>
        <v/>
      </c>
      <c r="I112" s="2" t="n"/>
    </row>
    <row r="113">
      <c r="A113" s="4" t="inlineStr">
        <is>
          <t>EMP10112</t>
        </is>
      </c>
      <c r="B113" s="4" t="inlineStr">
        <is>
          <t>劉子豪</t>
        </is>
      </c>
      <c r="C113" s="4" t="inlineStr">
        <is>
          <t>業務部</t>
        </is>
      </c>
      <c r="D113" s="4" t="inlineStr">
        <is>
          <t>L3</t>
        </is>
      </c>
      <c r="E113" s="5" t="n">
        <v>42454</v>
      </c>
      <c r="F113" s="4" t="n">
        <v>79000</v>
      </c>
      <c r="G113" s="4" t="inlineStr">
        <is>
          <t>D</t>
        </is>
      </c>
      <c r="H113" s="4">
        <f>DATEDIF(E113,TODAY(),"Y")</f>
        <v/>
      </c>
      <c r="I113" s="4" t="n"/>
    </row>
    <row r="114">
      <c r="A114" s="2" t="inlineStr">
        <is>
          <t>EMP10113</t>
        </is>
      </c>
      <c r="B114" s="2" t="inlineStr">
        <is>
          <t>江彥廷</t>
        </is>
      </c>
      <c r="C114" s="2" t="inlineStr">
        <is>
          <t>工程部</t>
        </is>
      </c>
      <c r="D114" s="2" t="inlineStr">
        <is>
          <t>L3</t>
        </is>
      </c>
      <c r="E114" s="3" t="n">
        <v>44783</v>
      </c>
      <c r="F114" s="2" t="n">
        <v>78000</v>
      </c>
      <c r="G114" s="2" t="inlineStr">
        <is>
          <t>A</t>
        </is>
      </c>
      <c r="H114" s="2">
        <f>DATEDIF(E114,TODAY(),"Y")</f>
        <v/>
      </c>
      <c r="I114" s="2" t="n"/>
    </row>
    <row r="115">
      <c r="A115" s="4" t="inlineStr">
        <is>
          <t>EMP10114</t>
        </is>
      </c>
      <c r="B115" s="4" t="inlineStr">
        <is>
          <t>李昱辰</t>
        </is>
      </c>
      <c r="C115" s="4" t="inlineStr">
        <is>
          <t>工程部</t>
        </is>
      </c>
      <c r="D115" s="4" t="inlineStr">
        <is>
          <t>L3</t>
        </is>
      </c>
      <c r="E115" s="5" t="n">
        <v>44966</v>
      </c>
      <c r="F115" s="4" t="n">
        <v>85000</v>
      </c>
      <c r="G115" s="4" t="inlineStr">
        <is>
          <t>D</t>
        </is>
      </c>
      <c r="H115" s="4">
        <f>DATEDIF(E115,TODAY(),"Y")</f>
        <v/>
      </c>
      <c r="I115" s="4" t="n"/>
    </row>
    <row r="116">
      <c r="A116" s="2" t="inlineStr">
        <is>
          <t>EMP10115</t>
        </is>
      </c>
      <c r="B116" s="2" t="inlineStr">
        <is>
          <t>陳碩宇</t>
        </is>
      </c>
      <c r="C116" s="2" t="inlineStr">
        <is>
          <t>財務部</t>
        </is>
      </c>
      <c r="D116" s="2" t="inlineStr">
        <is>
          <t>L6</t>
        </is>
      </c>
      <c r="E116" s="3" t="n">
        <v>44515</v>
      </c>
      <c r="F116" s="2" t="n">
        <v>145000</v>
      </c>
      <c r="G116" s="2" t="inlineStr">
        <is>
          <t>C</t>
        </is>
      </c>
      <c r="H116" s="2">
        <f>DATEDIF(E116,TODAY(),"Y")</f>
        <v/>
      </c>
      <c r="I116" s="3" t="n">
        <v>45657</v>
      </c>
    </row>
    <row r="117">
      <c r="A117" s="4" t="inlineStr">
        <is>
          <t>EMP10116</t>
        </is>
      </c>
      <c r="B117" s="4" t="inlineStr">
        <is>
          <t>蘇怡君</t>
        </is>
      </c>
      <c r="C117" s="4" t="inlineStr">
        <is>
          <t>業務部</t>
        </is>
      </c>
      <c r="D117" s="4" t="inlineStr">
        <is>
          <t>L2</t>
        </is>
      </c>
      <c r="E117" s="5" t="n">
        <v>43080</v>
      </c>
      <c r="F117" s="4" t="n">
        <v>52000</v>
      </c>
      <c r="G117" s="4" t="inlineStr">
        <is>
          <t>A</t>
        </is>
      </c>
      <c r="H117" s="4">
        <f>DATEDIF(E117,TODAY(),"Y")</f>
        <v/>
      </c>
      <c r="I117" s="4" t="n"/>
    </row>
    <row r="118">
      <c r="A118" s="2" t="inlineStr">
        <is>
          <t>EMP10117</t>
        </is>
      </c>
      <c r="B118" s="2" t="inlineStr">
        <is>
          <t>許翰林</t>
        </is>
      </c>
      <c r="C118" s="2" t="inlineStr">
        <is>
          <t>業務部</t>
        </is>
      </c>
      <c r="D118" s="2" t="inlineStr">
        <is>
          <t>L4</t>
        </is>
      </c>
      <c r="E118" s="3" t="n">
        <v>45280</v>
      </c>
      <c r="F118" s="2" t="n">
        <v>95000</v>
      </c>
      <c r="G118" s="2" t="inlineStr">
        <is>
          <t>C</t>
        </is>
      </c>
      <c r="H118" s="2">
        <f>DATEDIF(E118,TODAY(),"Y")</f>
        <v/>
      </c>
      <c r="I118" s="2" t="n"/>
    </row>
    <row r="119">
      <c r="A119" s="4" t="inlineStr">
        <is>
          <t>EMP10118</t>
        </is>
      </c>
      <c r="B119" s="4" t="inlineStr">
        <is>
          <t>劉翰林</t>
        </is>
      </c>
      <c r="C119" s="4" t="inlineStr">
        <is>
          <t>業務部</t>
        </is>
      </c>
      <c r="D119" s="4" t="inlineStr">
        <is>
          <t>L4</t>
        </is>
      </c>
      <c r="E119" s="5" t="n">
        <v>45341</v>
      </c>
      <c r="F119" s="4" t="n">
        <v>109000</v>
      </c>
      <c r="G119" s="4" t="inlineStr">
        <is>
          <t>B</t>
        </is>
      </c>
      <c r="H119" s="4">
        <f>DATEDIF(E119,TODAY(),"Y")</f>
        <v/>
      </c>
      <c r="I119" s="5" t="n">
        <v>45657</v>
      </c>
    </row>
    <row r="120">
      <c r="A120" s="2" t="inlineStr">
        <is>
          <t>EMP10119</t>
        </is>
      </c>
      <c r="B120" s="2" t="inlineStr">
        <is>
          <t>張世傑</t>
        </is>
      </c>
      <c r="C120" s="2" t="inlineStr">
        <is>
          <t>業務部</t>
        </is>
      </c>
      <c r="D120" s="2" t="inlineStr">
        <is>
          <t>L4</t>
        </is>
      </c>
      <c r="E120" s="3" t="n">
        <v>41649</v>
      </c>
      <c r="F120" s="2" t="n">
        <v>94000</v>
      </c>
      <c r="G120" s="2" t="inlineStr">
        <is>
          <t>D</t>
        </is>
      </c>
      <c r="H120" s="2">
        <f>DATEDIF(E120,TODAY(),"Y")</f>
        <v/>
      </c>
      <c r="I120" s="2" t="n"/>
    </row>
    <row r="121">
      <c r="A121" s="4" t="inlineStr">
        <is>
          <t>EMP10120</t>
        </is>
      </c>
      <c r="B121" s="4" t="inlineStr">
        <is>
          <t>林柏翰</t>
        </is>
      </c>
      <c r="C121" s="4" t="inlineStr">
        <is>
          <t>工程部</t>
        </is>
      </c>
      <c r="D121" s="4" t="inlineStr">
        <is>
          <t>L4</t>
        </is>
      </c>
      <c r="E121" s="5" t="n">
        <v>43362</v>
      </c>
      <c r="F121" s="4" t="n">
        <v>88000</v>
      </c>
      <c r="G121" s="4" t="inlineStr">
        <is>
          <t>B</t>
        </is>
      </c>
      <c r="H121" s="4">
        <f>DATEDIF(E121,TODAY(),"Y")</f>
        <v/>
      </c>
      <c r="I121" s="4" t="n"/>
    </row>
    <row r="122">
      <c r="A122" s="2" t="inlineStr">
        <is>
          <t>EMP10121</t>
        </is>
      </c>
      <c r="B122" s="2" t="inlineStr">
        <is>
          <t>曾冠霖</t>
        </is>
      </c>
      <c r="C122" s="2" t="inlineStr">
        <is>
          <t>產品部</t>
        </is>
      </c>
      <c r="D122" s="2" t="inlineStr">
        <is>
          <t>L4</t>
        </is>
      </c>
      <c r="E122" s="3" t="n">
        <v>44437</v>
      </c>
      <c r="F122" s="2" t="n">
        <v>94000</v>
      </c>
      <c r="G122" s="2" t="inlineStr">
        <is>
          <t>B</t>
        </is>
      </c>
      <c r="H122" s="2">
        <f>DATEDIF(E122,TODAY(),"Y")</f>
        <v/>
      </c>
      <c r="I122" s="2" t="n"/>
    </row>
    <row r="123">
      <c r="A123" s="4" t="inlineStr">
        <is>
          <t>EMP10122</t>
        </is>
      </c>
      <c r="B123" s="4" t="inlineStr">
        <is>
          <t>徐金鳳</t>
        </is>
      </c>
      <c r="C123" s="4" t="inlineStr">
        <is>
          <t>產品部</t>
        </is>
      </c>
      <c r="D123" s="4" t="inlineStr">
        <is>
          <t>L4</t>
        </is>
      </c>
      <c r="E123" s="5" t="n">
        <v>42343</v>
      </c>
      <c r="F123" s="4" t="n">
        <v>110000</v>
      </c>
      <c r="G123" s="4" t="inlineStr">
        <is>
          <t>B</t>
        </is>
      </c>
      <c r="H123" s="4">
        <f>DATEDIF(E123,TODAY(),"Y")</f>
        <v/>
      </c>
      <c r="I123" s="5" t="n">
        <v>43603</v>
      </c>
    </row>
    <row r="124">
      <c r="A124" s="2" t="inlineStr">
        <is>
          <t>EMP10123</t>
        </is>
      </c>
      <c r="B124" s="2" t="inlineStr">
        <is>
          <t>葉志遠</t>
        </is>
      </c>
      <c r="C124" s="2" t="inlineStr">
        <is>
          <t>工程部</t>
        </is>
      </c>
      <c r="D124" s="2" t="inlineStr">
        <is>
          <t>L2</t>
        </is>
      </c>
      <c r="E124" s="3" t="n">
        <v>42989</v>
      </c>
      <c r="F124" s="2" t="n">
        <v>52000</v>
      </c>
      <c r="G124" s="2" t="inlineStr">
        <is>
          <t>B</t>
        </is>
      </c>
      <c r="H124" s="2">
        <f>DATEDIF(E124,TODAY(),"Y")</f>
        <v/>
      </c>
      <c r="I124" s="2" t="n"/>
    </row>
    <row r="125">
      <c r="A125" s="4" t="inlineStr">
        <is>
          <t>EMP10124</t>
        </is>
      </c>
      <c r="B125" s="4" t="inlineStr">
        <is>
          <t>郭承恩</t>
        </is>
      </c>
      <c r="C125" s="4" t="inlineStr">
        <is>
          <t>產品部</t>
        </is>
      </c>
      <c r="D125" s="4" t="inlineStr">
        <is>
          <t>L5</t>
        </is>
      </c>
      <c r="E125" s="5" t="n">
        <v>45386</v>
      </c>
      <c r="F125" s="4" t="n">
        <v>124000</v>
      </c>
      <c r="G125" s="4" t="inlineStr">
        <is>
          <t>D</t>
        </is>
      </c>
      <c r="H125" s="4">
        <f>DATEDIF(E125,TODAY(),"Y")</f>
        <v/>
      </c>
      <c r="I125" s="4" t="n"/>
    </row>
    <row r="126">
      <c r="A126" s="2" t="inlineStr">
        <is>
          <t>EMP10125</t>
        </is>
      </c>
      <c r="B126" s="2" t="inlineStr">
        <is>
          <t>郭美玲</t>
        </is>
      </c>
      <c r="C126" s="2" t="inlineStr">
        <is>
          <t>人資部</t>
        </is>
      </c>
      <c r="D126" s="2" t="inlineStr">
        <is>
          <t>L6</t>
        </is>
      </c>
      <c r="E126" s="3" t="n">
        <v>44384</v>
      </c>
      <c r="F126" s="2" t="n">
        <v>144000</v>
      </c>
      <c r="G126" s="2" t="inlineStr">
        <is>
          <t>C</t>
        </is>
      </c>
      <c r="H126" s="2">
        <f>DATEDIF(E126,TODAY(),"Y")</f>
        <v/>
      </c>
      <c r="I126" s="2" t="n"/>
    </row>
    <row r="127">
      <c r="A127" s="4" t="inlineStr">
        <is>
          <t>EMP10126</t>
        </is>
      </c>
      <c r="B127" s="4" t="inlineStr">
        <is>
          <t>賴承恩</t>
        </is>
      </c>
      <c r="C127" s="4" t="inlineStr">
        <is>
          <t>業務部</t>
        </is>
      </c>
      <c r="D127" s="4" t="inlineStr">
        <is>
          <t>L2</t>
        </is>
      </c>
      <c r="E127" s="5" t="n">
        <v>41782</v>
      </c>
      <c r="F127" s="4" t="n">
        <v>60000</v>
      </c>
      <c r="G127" s="4" t="inlineStr">
        <is>
          <t>C</t>
        </is>
      </c>
      <c r="H127" s="4">
        <f>DATEDIF(E127,TODAY(),"Y")</f>
        <v/>
      </c>
      <c r="I127" s="4" t="n"/>
    </row>
    <row r="128">
      <c r="A128" s="2" t="inlineStr">
        <is>
          <t>EMP10127</t>
        </is>
      </c>
      <c r="B128" s="2" t="inlineStr">
        <is>
          <t>賴金鳳</t>
        </is>
      </c>
      <c r="C128" s="2" t="inlineStr">
        <is>
          <t>產品部</t>
        </is>
      </c>
      <c r="D128" s="2" t="inlineStr">
        <is>
          <t>L4</t>
        </is>
      </c>
      <c r="E128" s="3" t="n">
        <v>44151</v>
      </c>
      <c r="F128" s="2" t="n">
        <v>107000</v>
      </c>
      <c r="G128" s="2" t="inlineStr">
        <is>
          <t>B</t>
        </is>
      </c>
      <c r="H128" s="2">
        <f>DATEDIF(E128,TODAY(),"Y")</f>
        <v/>
      </c>
      <c r="I128" s="2" t="n"/>
    </row>
    <row r="129">
      <c r="A129" s="4" t="inlineStr">
        <is>
          <t>EMP10128</t>
        </is>
      </c>
      <c r="B129" s="4" t="inlineStr">
        <is>
          <t>高哲維</t>
        </is>
      </c>
      <c r="C129" s="4" t="inlineStr">
        <is>
          <t>產品部</t>
        </is>
      </c>
      <c r="D129" s="4" t="inlineStr">
        <is>
          <t>L4</t>
        </is>
      </c>
      <c r="E129" s="5" t="n">
        <v>44978</v>
      </c>
      <c r="F129" s="4" t="n">
        <v>86000</v>
      </c>
      <c r="G129" s="4" t="inlineStr">
        <is>
          <t>D</t>
        </is>
      </c>
      <c r="H129" s="4">
        <f>DATEDIF(E129,TODAY(),"Y")</f>
        <v/>
      </c>
      <c r="I129" s="4" t="n"/>
    </row>
    <row r="130">
      <c r="A130" s="2" t="inlineStr">
        <is>
          <t>EMP10129</t>
        </is>
      </c>
      <c r="B130" s="2" t="inlineStr">
        <is>
          <t>吳芳吟</t>
        </is>
      </c>
      <c r="C130" s="2" t="inlineStr">
        <is>
          <t>工程部</t>
        </is>
      </c>
      <c r="D130" s="2" t="inlineStr">
        <is>
          <t>L4</t>
        </is>
      </c>
      <c r="E130" s="3" t="n">
        <v>43795</v>
      </c>
      <c r="F130" s="2" t="n">
        <v>92000</v>
      </c>
      <c r="G130" s="2" t="inlineStr">
        <is>
          <t>C</t>
        </is>
      </c>
      <c r="H130" s="2">
        <f>DATEDIF(E130,TODAY(),"Y")</f>
        <v/>
      </c>
      <c r="I130" s="2" t="n"/>
    </row>
    <row r="131">
      <c r="A131" s="4" t="inlineStr">
        <is>
          <t>EMP10130</t>
        </is>
      </c>
      <c r="B131" s="4" t="inlineStr">
        <is>
          <t>郭建宏</t>
        </is>
      </c>
      <c r="C131" s="4" t="inlineStr">
        <is>
          <t>行銷部</t>
        </is>
      </c>
      <c r="D131" s="4" t="inlineStr">
        <is>
          <t>L2</t>
        </is>
      </c>
      <c r="E131" s="5" t="n">
        <v>41231</v>
      </c>
      <c r="F131" s="4" t="n">
        <v>52000</v>
      </c>
      <c r="G131" s="4" t="inlineStr">
        <is>
          <t>C</t>
        </is>
      </c>
      <c r="H131" s="4">
        <f>DATEDIF(E131,TODAY(),"Y")</f>
        <v/>
      </c>
      <c r="I131" s="4" t="n"/>
    </row>
    <row r="132">
      <c r="A132" s="2" t="inlineStr">
        <is>
          <t>EMP10131</t>
        </is>
      </c>
      <c r="B132" s="2" t="inlineStr">
        <is>
          <t>洪佩珊</t>
        </is>
      </c>
      <c r="C132" s="2" t="inlineStr">
        <is>
          <t>行銷部</t>
        </is>
      </c>
      <c r="D132" s="2" t="inlineStr">
        <is>
          <t>L3</t>
        </is>
      </c>
      <c r="E132" s="3" t="n">
        <v>43326</v>
      </c>
      <c r="F132" s="2" t="n">
        <v>69000</v>
      </c>
      <c r="G132" s="2" t="inlineStr">
        <is>
          <t>A</t>
        </is>
      </c>
      <c r="H132" s="2">
        <f>DATEDIF(E132,TODAY(),"Y")</f>
        <v/>
      </c>
      <c r="I132" s="2" t="n"/>
    </row>
    <row r="133">
      <c r="A133" s="4" t="inlineStr">
        <is>
          <t>EMP10132</t>
        </is>
      </c>
      <c r="B133" s="4" t="inlineStr">
        <is>
          <t>蕭淑芬</t>
        </is>
      </c>
      <c r="C133" s="4" t="inlineStr">
        <is>
          <t>工程部</t>
        </is>
      </c>
      <c r="D133" s="4" t="inlineStr">
        <is>
          <t>L2</t>
        </is>
      </c>
      <c r="E133" s="5" t="n">
        <v>43906</v>
      </c>
      <c r="F133" s="4" t="n">
        <v>65000</v>
      </c>
      <c r="G133" s="4" t="inlineStr">
        <is>
          <t>C</t>
        </is>
      </c>
      <c r="H133" s="4">
        <f>DATEDIF(E133,TODAY(),"Y")</f>
        <v/>
      </c>
      <c r="I133" s="4" t="n"/>
    </row>
    <row r="134">
      <c r="A134" s="2" t="inlineStr">
        <is>
          <t>EMP10133</t>
        </is>
      </c>
      <c r="B134" s="2" t="inlineStr">
        <is>
          <t>楊雅菁</t>
        </is>
      </c>
      <c r="C134" s="2" t="inlineStr">
        <is>
          <t>行銷部</t>
        </is>
      </c>
      <c r="D134" s="2" t="inlineStr">
        <is>
          <t>L4</t>
        </is>
      </c>
      <c r="E134" s="3" t="n">
        <v>44856</v>
      </c>
      <c r="F134" s="2" t="n">
        <v>93000</v>
      </c>
      <c r="G134" s="2" t="inlineStr">
        <is>
          <t>D</t>
        </is>
      </c>
      <c r="H134" s="2">
        <f>DATEDIF(E134,TODAY(),"Y")</f>
        <v/>
      </c>
      <c r="I134" s="2" t="n"/>
    </row>
    <row r="135">
      <c r="A135" s="4" t="inlineStr">
        <is>
          <t>EMP10134</t>
        </is>
      </c>
      <c r="B135" s="4" t="inlineStr">
        <is>
          <t>劉金鳳</t>
        </is>
      </c>
      <c r="C135" s="4" t="inlineStr">
        <is>
          <t>業務部</t>
        </is>
      </c>
      <c r="D135" s="4" t="inlineStr">
        <is>
          <t>L5</t>
        </is>
      </c>
      <c r="E135" s="5" t="n">
        <v>41525</v>
      </c>
      <c r="F135" s="4" t="n">
        <v>135000</v>
      </c>
      <c r="G135" s="4" t="inlineStr">
        <is>
          <t>A</t>
        </is>
      </c>
      <c r="H135" s="4">
        <f>DATEDIF(E135,TODAY(),"Y")</f>
        <v/>
      </c>
      <c r="I135" s="4" t="n"/>
    </row>
    <row r="136">
      <c r="A136" s="2" t="inlineStr">
        <is>
          <t>EMP10135</t>
        </is>
      </c>
      <c r="B136" s="2" t="inlineStr">
        <is>
          <t>陳峻豪</t>
        </is>
      </c>
      <c r="C136" s="2" t="inlineStr">
        <is>
          <t>法務部</t>
        </is>
      </c>
      <c r="D136" s="2" t="inlineStr">
        <is>
          <t>L4</t>
        </is>
      </c>
      <c r="E136" s="3" t="n">
        <v>43905</v>
      </c>
      <c r="F136" s="2" t="n">
        <v>97000</v>
      </c>
      <c r="G136" s="2" t="inlineStr">
        <is>
          <t>D</t>
        </is>
      </c>
      <c r="H136" s="2">
        <f>DATEDIF(E136,TODAY(),"Y")</f>
        <v/>
      </c>
      <c r="I136" s="3" t="n">
        <v>45195</v>
      </c>
    </row>
    <row r="137">
      <c r="A137" s="4" t="inlineStr">
        <is>
          <t>EMP10136</t>
        </is>
      </c>
      <c r="B137" s="4" t="inlineStr">
        <is>
          <t>何翰林</t>
        </is>
      </c>
      <c r="C137" s="4" t="inlineStr">
        <is>
          <t>人資部</t>
        </is>
      </c>
      <c r="D137" s="4" t="inlineStr">
        <is>
          <t>L3</t>
        </is>
      </c>
      <c r="E137" s="5" t="n">
        <v>43056</v>
      </c>
      <c r="F137" s="4" t="n">
        <v>79000</v>
      </c>
      <c r="G137" s="4" t="inlineStr">
        <is>
          <t>B</t>
        </is>
      </c>
      <c r="H137" s="4">
        <f>DATEDIF(E137,TODAY(),"Y")</f>
        <v/>
      </c>
      <c r="I137" s="4" t="n"/>
    </row>
    <row r="138">
      <c r="A138" s="2" t="inlineStr">
        <is>
          <t>EMP10137</t>
        </is>
      </c>
      <c r="B138" s="2" t="inlineStr">
        <is>
          <t>許芳吟</t>
        </is>
      </c>
      <c r="C138" s="2" t="inlineStr">
        <is>
          <t>工程部</t>
        </is>
      </c>
      <c r="D138" s="2" t="inlineStr">
        <is>
          <t>L6</t>
        </is>
      </c>
      <c r="E138" s="3" t="n">
        <v>44771</v>
      </c>
      <c r="F138" s="2" t="n">
        <v>138000</v>
      </c>
      <c r="G138" s="2" t="inlineStr">
        <is>
          <t>C</t>
        </is>
      </c>
      <c r="H138" s="2">
        <f>DATEDIF(E138,TODAY(),"Y")</f>
        <v/>
      </c>
      <c r="I138" s="3" t="n">
        <v>45657</v>
      </c>
    </row>
    <row r="139">
      <c r="A139" s="4" t="inlineStr">
        <is>
          <t>EMP10138</t>
        </is>
      </c>
      <c r="B139" s="4" t="inlineStr">
        <is>
          <t>楊麗君</t>
        </is>
      </c>
      <c r="C139" s="4" t="inlineStr">
        <is>
          <t>財務部</t>
        </is>
      </c>
      <c r="D139" s="4" t="inlineStr">
        <is>
          <t>L2</t>
        </is>
      </c>
      <c r="E139" s="5" t="n">
        <v>44712</v>
      </c>
      <c r="F139" s="4" t="n">
        <v>50000</v>
      </c>
      <c r="G139" s="4" t="inlineStr">
        <is>
          <t>C</t>
        </is>
      </c>
      <c r="H139" s="4">
        <f>DATEDIF(E139,TODAY(),"Y")</f>
        <v/>
      </c>
      <c r="I139" s="4" t="n"/>
    </row>
    <row r="140">
      <c r="A140" s="2" t="inlineStr">
        <is>
          <t>EMP10139</t>
        </is>
      </c>
      <c r="B140" s="2" t="inlineStr">
        <is>
          <t>邱雪瑩</t>
        </is>
      </c>
      <c r="C140" s="2" t="inlineStr">
        <is>
          <t>業務部</t>
        </is>
      </c>
      <c r="D140" s="2" t="inlineStr">
        <is>
          <t>L3</t>
        </is>
      </c>
      <c r="E140" s="3" t="n">
        <v>41213</v>
      </c>
      <c r="F140" s="2" t="n">
        <v>69000</v>
      </c>
      <c r="G140" s="2" t="inlineStr">
        <is>
          <t>A</t>
        </is>
      </c>
      <c r="H140" s="2">
        <f>DATEDIF(E140,TODAY(),"Y")</f>
        <v/>
      </c>
      <c r="I140" s="2" t="n"/>
    </row>
    <row r="141">
      <c r="A141" s="4" t="inlineStr">
        <is>
          <t>EMP10140</t>
        </is>
      </c>
      <c r="B141" s="4" t="inlineStr">
        <is>
          <t>莊耀德</t>
        </is>
      </c>
      <c r="C141" s="4" t="inlineStr">
        <is>
          <t>產品部</t>
        </is>
      </c>
      <c r="D141" s="4" t="inlineStr">
        <is>
          <t>L2</t>
        </is>
      </c>
      <c r="E141" s="5" t="n">
        <v>44625</v>
      </c>
      <c r="F141" s="4" t="n">
        <v>65000</v>
      </c>
      <c r="G141" s="4" t="inlineStr">
        <is>
          <t>A</t>
        </is>
      </c>
      <c r="H141" s="4">
        <f>DATEDIF(E141,TODAY(),"Y")</f>
        <v/>
      </c>
      <c r="I141" s="4" t="n"/>
    </row>
    <row r="142">
      <c r="A142" s="2" t="inlineStr">
        <is>
          <t>EMP10141</t>
        </is>
      </c>
      <c r="B142" s="2" t="inlineStr">
        <is>
          <t>周宗霖</t>
        </is>
      </c>
      <c r="C142" s="2" t="inlineStr">
        <is>
          <t>工程部</t>
        </is>
      </c>
      <c r="D142" s="2" t="inlineStr">
        <is>
          <t>L6</t>
        </is>
      </c>
      <c r="E142" s="3" t="n">
        <v>42174</v>
      </c>
      <c r="F142" s="2" t="n">
        <v>148000</v>
      </c>
      <c r="G142" s="2" t="inlineStr">
        <is>
          <t>B</t>
        </is>
      </c>
      <c r="H142" s="2">
        <f>DATEDIF(E142,TODAY(),"Y")</f>
        <v/>
      </c>
      <c r="I142" s="2" t="n"/>
    </row>
    <row r="143">
      <c r="A143" s="4" t="inlineStr">
        <is>
          <t>EMP10142</t>
        </is>
      </c>
      <c r="B143" s="4" t="inlineStr">
        <is>
          <t>吳啟誠</t>
        </is>
      </c>
      <c r="C143" s="4" t="inlineStr">
        <is>
          <t>人資部</t>
        </is>
      </c>
      <c r="D143" s="4" t="inlineStr">
        <is>
          <t>L4</t>
        </is>
      </c>
      <c r="E143" s="5" t="n">
        <v>43200</v>
      </c>
      <c r="F143" s="4" t="n">
        <v>104000</v>
      </c>
      <c r="G143" s="4" t="inlineStr">
        <is>
          <t>B</t>
        </is>
      </c>
      <c r="H143" s="4">
        <f>DATEDIF(E143,TODAY(),"Y")</f>
        <v/>
      </c>
      <c r="I143" s="5" t="n">
        <v>44430</v>
      </c>
    </row>
    <row r="144">
      <c r="A144" s="2" t="inlineStr">
        <is>
          <t>EMP10143</t>
        </is>
      </c>
      <c r="B144" s="2" t="inlineStr">
        <is>
          <t>鄭宸宇</t>
        </is>
      </c>
      <c r="C144" s="2" t="inlineStr">
        <is>
          <t>工程部</t>
        </is>
      </c>
      <c r="D144" s="2" t="inlineStr">
        <is>
          <t>L3</t>
        </is>
      </c>
      <c r="E144" s="3" t="n">
        <v>41722</v>
      </c>
      <c r="F144" s="2" t="n">
        <v>72000</v>
      </c>
      <c r="G144" s="2" t="inlineStr">
        <is>
          <t>C</t>
        </is>
      </c>
      <c r="H144" s="2">
        <f>DATEDIF(E144,TODAY(),"Y")</f>
        <v/>
      </c>
      <c r="I144" s="2" t="n"/>
    </row>
    <row r="145">
      <c r="A145" s="4" t="inlineStr">
        <is>
          <t>EMP10144</t>
        </is>
      </c>
      <c r="B145" s="4" t="inlineStr">
        <is>
          <t>張雅雯</t>
        </is>
      </c>
      <c r="C145" s="4" t="inlineStr">
        <is>
          <t>工程部</t>
        </is>
      </c>
      <c r="D145" s="4" t="inlineStr">
        <is>
          <t>L5</t>
        </is>
      </c>
      <c r="E145" s="5" t="n">
        <v>44170</v>
      </c>
      <c r="F145" s="4" t="n">
        <v>130000</v>
      </c>
      <c r="G145" s="4" t="inlineStr">
        <is>
          <t>B</t>
        </is>
      </c>
      <c r="H145" s="4">
        <f>DATEDIF(E145,TODAY(),"Y")</f>
        <v/>
      </c>
      <c r="I145" s="4" t="n"/>
    </row>
    <row r="146">
      <c r="A146" s="2" t="inlineStr">
        <is>
          <t>EMP10145</t>
        </is>
      </c>
      <c r="B146" s="2" t="inlineStr">
        <is>
          <t>劉冠宇</t>
        </is>
      </c>
      <c r="C146" s="2" t="inlineStr">
        <is>
          <t>行銷部</t>
        </is>
      </c>
      <c r="D146" s="2" t="inlineStr">
        <is>
          <t>L2</t>
        </is>
      </c>
      <c r="E146" s="3" t="n">
        <v>41083</v>
      </c>
      <c r="F146" s="2" t="n">
        <v>54000</v>
      </c>
      <c r="G146" s="2" t="inlineStr">
        <is>
          <t>C</t>
        </is>
      </c>
      <c r="H146" s="2">
        <f>DATEDIF(E146,TODAY(),"Y")</f>
        <v/>
      </c>
      <c r="I146" s="3" t="n">
        <v>42253</v>
      </c>
    </row>
    <row r="147">
      <c r="A147" s="4" t="inlineStr">
        <is>
          <t>EMP10146</t>
        </is>
      </c>
      <c r="B147" s="4" t="inlineStr">
        <is>
          <t>吳文凱</t>
        </is>
      </c>
      <c r="C147" s="4" t="inlineStr">
        <is>
          <t>產品部</t>
        </is>
      </c>
      <c r="D147" s="4" t="inlineStr">
        <is>
          <t>L4</t>
        </is>
      </c>
      <c r="E147" s="5" t="n">
        <v>45449</v>
      </c>
      <c r="F147" s="4" t="n">
        <v>91000</v>
      </c>
      <c r="G147" s="4" t="inlineStr">
        <is>
          <t>A</t>
        </is>
      </c>
      <c r="H147" s="4">
        <f>DATEDIF(E147,TODAY(),"Y")</f>
        <v/>
      </c>
      <c r="I147" s="4" t="n"/>
    </row>
    <row r="148">
      <c r="A148" s="2" t="inlineStr">
        <is>
          <t>EMP10147</t>
        </is>
      </c>
      <c r="B148" s="2" t="inlineStr">
        <is>
          <t>李冠宇</t>
        </is>
      </c>
      <c r="C148" s="2" t="inlineStr">
        <is>
          <t>業務部</t>
        </is>
      </c>
      <c r="D148" s="2" t="inlineStr">
        <is>
          <t>L3</t>
        </is>
      </c>
      <c r="E148" s="3" t="n">
        <v>40932</v>
      </c>
      <c r="F148" s="2" t="n">
        <v>69000</v>
      </c>
      <c r="G148" s="2" t="inlineStr">
        <is>
          <t>C</t>
        </is>
      </c>
      <c r="H148" s="2">
        <f>DATEDIF(E148,TODAY(),"Y")</f>
        <v/>
      </c>
      <c r="I148" s="2" t="n"/>
    </row>
    <row r="149">
      <c r="A149" s="4" t="inlineStr">
        <is>
          <t>EMP10148</t>
        </is>
      </c>
      <c r="B149" s="4" t="inlineStr">
        <is>
          <t>鄭秀蘭</t>
        </is>
      </c>
      <c r="C149" s="4" t="inlineStr">
        <is>
          <t>工程部</t>
        </is>
      </c>
      <c r="D149" s="4" t="inlineStr">
        <is>
          <t>L3</t>
        </is>
      </c>
      <c r="E149" s="5" t="n">
        <v>41120</v>
      </c>
      <c r="F149" s="4" t="n">
        <v>70000</v>
      </c>
      <c r="G149" s="4" t="inlineStr">
        <is>
          <t>A</t>
        </is>
      </c>
      <c r="H149" s="4">
        <f>DATEDIF(E149,TODAY(),"Y")</f>
        <v/>
      </c>
      <c r="I149" s="4" t="n"/>
    </row>
    <row r="150">
      <c r="A150" s="2" t="inlineStr">
        <is>
          <t>EMP10149</t>
        </is>
      </c>
      <c r="B150" s="2" t="inlineStr">
        <is>
          <t>洪盈潔</t>
        </is>
      </c>
      <c r="C150" s="2" t="inlineStr">
        <is>
          <t>行銷部</t>
        </is>
      </c>
      <c r="D150" s="2" t="inlineStr">
        <is>
          <t>L3</t>
        </is>
      </c>
      <c r="E150" s="3" t="n">
        <v>41338</v>
      </c>
      <c r="F150" s="2" t="n">
        <v>65000</v>
      </c>
      <c r="G150" s="2" t="inlineStr">
        <is>
          <t>B</t>
        </is>
      </c>
      <c r="H150" s="2">
        <f>DATEDIF(E150,TODAY(),"Y")</f>
        <v/>
      </c>
      <c r="I150" s="2" t="n"/>
    </row>
    <row r="151">
      <c r="A151" s="4" t="inlineStr">
        <is>
          <t>EMP10150</t>
        </is>
      </c>
      <c r="B151" s="4" t="inlineStr">
        <is>
          <t>張啟誠</t>
        </is>
      </c>
      <c r="C151" s="4" t="inlineStr">
        <is>
          <t>工程部</t>
        </is>
      </c>
      <c r="D151" s="4" t="inlineStr">
        <is>
          <t>L2</t>
        </is>
      </c>
      <c r="E151" s="5" t="n">
        <v>43874</v>
      </c>
      <c r="F151" s="4" t="n">
        <v>50000</v>
      </c>
      <c r="G151" s="4" t="inlineStr">
        <is>
          <t>B</t>
        </is>
      </c>
      <c r="H151" s="4">
        <f>DATEDIF(E151,TODAY(),"Y")</f>
        <v/>
      </c>
      <c r="I151" s="4" t="n"/>
    </row>
    <row r="152">
      <c r="A152" s="2" t="inlineStr">
        <is>
          <t>EMP10151</t>
        </is>
      </c>
      <c r="B152" s="2" t="inlineStr">
        <is>
          <t>周佳音</t>
        </is>
      </c>
      <c r="C152" s="2" t="inlineStr">
        <is>
          <t>業務部</t>
        </is>
      </c>
      <c r="D152" s="2" t="inlineStr">
        <is>
          <t>L3</t>
        </is>
      </c>
      <c r="E152" s="3" t="n">
        <v>45180</v>
      </c>
      <c r="F152" s="2" t="n">
        <v>84000</v>
      </c>
      <c r="G152" s="2" t="inlineStr">
        <is>
          <t>A</t>
        </is>
      </c>
      <c r="H152" s="2">
        <f>DATEDIF(E152,TODAY(),"Y")</f>
        <v/>
      </c>
      <c r="I152" s="2" t="n"/>
    </row>
    <row r="153">
      <c r="A153" s="4" t="inlineStr">
        <is>
          <t>EMP10152</t>
        </is>
      </c>
      <c r="B153" s="4" t="inlineStr">
        <is>
          <t>邱麗華</t>
        </is>
      </c>
      <c r="C153" s="4" t="inlineStr">
        <is>
          <t>業務部</t>
        </is>
      </c>
      <c r="D153" s="4" t="inlineStr">
        <is>
          <t>L2</t>
        </is>
      </c>
      <c r="E153" s="5" t="n">
        <v>44401</v>
      </c>
      <c r="F153" s="4" t="n">
        <v>63000</v>
      </c>
      <c r="G153" s="4" t="inlineStr">
        <is>
          <t>C</t>
        </is>
      </c>
      <c r="H153" s="4">
        <f>DATEDIF(E153,TODAY(),"Y")</f>
        <v/>
      </c>
      <c r="I153" s="4" t="n"/>
    </row>
    <row r="154">
      <c r="A154" s="2" t="inlineStr">
        <is>
          <t>EMP10153</t>
        </is>
      </c>
      <c r="B154" s="2" t="inlineStr">
        <is>
          <t>黃冠宇</t>
        </is>
      </c>
      <c r="C154" s="2" t="inlineStr">
        <is>
          <t>工程部</t>
        </is>
      </c>
      <c r="D154" s="2" t="inlineStr">
        <is>
          <t>L5</t>
        </is>
      </c>
      <c r="E154" s="3" t="n">
        <v>43547</v>
      </c>
      <c r="F154" s="2" t="n">
        <v>112000</v>
      </c>
      <c r="G154" s="2" t="inlineStr">
        <is>
          <t>C</t>
        </is>
      </c>
      <c r="H154" s="2">
        <f>DATEDIF(E154,TODAY(),"Y")</f>
        <v/>
      </c>
      <c r="I154" s="2" t="n"/>
    </row>
    <row r="155">
      <c r="A155" s="4" t="inlineStr">
        <is>
          <t>EMP10154</t>
        </is>
      </c>
      <c r="B155" s="4" t="inlineStr">
        <is>
          <t>徐盈潔</t>
        </is>
      </c>
      <c r="C155" s="4" t="inlineStr">
        <is>
          <t>產品部</t>
        </is>
      </c>
      <c r="D155" s="4" t="inlineStr">
        <is>
          <t>L3</t>
        </is>
      </c>
      <c r="E155" s="5" t="n">
        <v>43572</v>
      </c>
      <c r="F155" s="4" t="n">
        <v>85000</v>
      </c>
      <c r="G155" s="4" t="inlineStr">
        <is>
          <t>B</t>
        </is>
      </c>
      <c r="H155" s="4">
        <f>DATEDIF(E155,TODAY(),"Y")</f>
        <v/>
      </c>
      <c r="I155" s="4" t="n"/>
    </row>
    <row r="156">
      <c r="A156" s="2" t="inlineStr">
        <is>
          <t>EMP10155</t>
        </is>
      </c>
      <c r="B156" s="2" t="inlineStr">
        <is>
          <t>張麗君</t>
        </is>
      </c>
      <c r="C156" s="2" t="inlineStr">
        <is>
          <t>產品部</t>
        </is>
      </c>
      <c r="D156" s="2" t="inlineStr">
        <is>
          <t>L3</t>
        </is>
      </c>
      <c r="E156" s="3" t="n">
        <v>41721</v>
      </c>
      <c r="F156" s="2" t="n">
        <v>81000</v>
      </c>
      <c r="G156" s="2" t="inlineStr">
        <is>
          <t>C</t>
        </is>
      </c>
      <c r="H156" s="2">
        <f>DATEDIF(E156,TODAY(),"Y")</f>
        <v/>
      </c>
      <c r="I156" s="2" t="n"/>
    </row>
    <row r="157">
      <c r="A157" s="4" t="inlineStr">
        <is>
          <t>EMP10156</t>
        </is>
      </c>
      <c r="B157" s="4" t="inlineStr">
        <is>
          <t>高文凱</t>
        </is>
      </c>
      <c r="C157" s="4" t="inlineStr">
        <is>
          <t>行銷部</t>
        </is>
      </c>
      <c r="D157" s="4" t="inlineStr">
        <is>
          <t>L3</t>
        </is>
      </c>
      <c r="E157" s="5" t="n">
        <v>42670</v>
      </c>
      <c r="F157" s="4" t="n">
        <v>82000</v>
      </c>
      <c r="G157" s="4" t="inlineStr">
        <is>
          <t>C</t>
        </is>
      </c>
      <c r="H157" s="4">
        <f>DATEDIF(E157,TODAY(),"Y")</f>
        <v/>
      </c>
      <c r="I157" s="4" t="n"/>
    </row>
    <row r="158">
      <c r="A158" s="2" t="inlineStr">
        <is>
          <t>EMP10157</t>
        </is>
      </c>
      <c r="B158" s="2" t="inlineStr">
        <is>
          <t>許勝閎</t>
        </is>
      </c>
      <c r="C158" s="2" t="inlineStr">
        <is>
          <t>工程部</t>
        </is>
      </c>
      <c r="D158" s="2" t="inlineStr">
        <is>
          <t>L3</t>
        </is>
      </c>
      <c r="E158" s="3" t="n">
        <v>41687</v>
      </c>
      <c r="F158" s="2" t="n">
        <v>79000</v>
      </c>
      <c r="G158" s="2" t="inlineStr">
        <is>
          <t>B</t>
        </is>
      </c>
      <c r="H158" s="2">
        <f>DATEDIF(E158,TODAY(),"Y")</f>
        <v/>
      </c>
      <c r="I158" s="2" t="n"/>
    </row>
    <row r="159">
      <c r="A159" s="4" t="inlineStr">
        <is>
          <t>EMP10158</t>
        </is>
      </c>
      <c r="B159" s="4" t="inlineStr">
        <is>
          <t>黃淑貞</t>
        </is>
      </c>
      <c r="C159" s="4" t="inlineStr">
        <is>
          <t>行銷部</t>
        </is>
      </c>
      <c r="D159" s="4" t="inlineStr">
        <is>
          <t>L2</t>
        </is>
      </c>
      <c r="E159" s="5" t="n">
        <v>44794</v>
      </c>
      <c r="F159" s="4" t="n">
        <v>52000</v>
      </c>
      <c r="G159" s="4" t="inlineStr">
        <is>
          <t>C</t>
        </is>
      </c>
      <c r="H159" s="4">
        <f>DATEDIF(E159,TODAY(),"Y")</f>
        <v/>
      </c>
      <c r="I159" s="5" t="n">
        <v>45484</v>
      </c>
    </row>
    <row r="160">
      <c r="A160" s="2" t="inlineStr">
        <is>
          <t>EMP10159</t>
        </is>
      </c>
      <c r="B160" s="2" t="inlineStr">
        <is>
          <t>廖馨儀</t>
        </is>
      </c>
      <c r="C160" s="2" t="inlineStr">
        <is>
          <t>財務部</t>
        </is>
      </c>
      <c r="D160" s="2" t="inlineStr">
        <is>
          <t>L2</t>
        </is>
      </c>
      <c r="E160" s="3" t="n">
        <v>45466</v>
      </c>
      <c r="F160" s="2" t="n">
        <v>59000</v>
      </c>
      <c r="G160" s="2" t="inlineStr">
        <is>
          <t>C</t>
        </is>
      </c>
      <c r="H160" s="2">
        <f>DATEDIF(E160,TODAY(),"Y")</f>
        <v/>
      </c>
      <c r="I160" s="3" t="n">
        <v>45657</v>
      </c>
    </row>
    <row r="161">
      <c r="A161" s="4" t="inlineStr">
        <is>
          <t>EMP10160</t>
        </is>
      </c>
      <c r="B161" s="4" t="inlineStr">
        <is>
          <t>莊雅婷</t>
        </is>
      </c>
      <c r="C161" s="4" t="inlineStr">
        <is>
          <t>法務部</t>
        </is>
      </c>
      <c r="D161" s="4" t="inlineStr">
        <is>
          <t>L4</t>
        </is>
      </c>
      <c r="E161" s="5" t="n">
        <v>44373</v>
      </c>
      <c r="F161" s="4" t="n">
        <v>98000</v>
      </c>
      <c r="G161" s="4" t="inlineStr">
        <is>
          <t>B</t>
        </is>
      </c>
      <c r="H161" s="4">
        <f>DATEDIF(E161,TODAY(),"Y")</f>
        <v/>
      </c>
      <c r="I161" s="4" t="n"/>
    </row>
    <row r="162">
      <c r="A162" s="2" t="inlineStr">
        <is>
          <t>EMP10161</t>
        </is>
      </c>
      <c r="B162" s="2" t="inlineStr">
        <is>
          <t>吳敏慧</t>
        </is>
      </c>
      <c r="C162" s="2" t="inlineStr">
        <is>
          <t>產品部</t>
        </is>
      </c>
      <c r="D162" s="2" t="inlineStr">
        <is>
          <t>L6</t>
        </is>
      </c>
      <c r="E162" s="3" t="n">
        <v>41757</v>
      </c>
      <c r="F162" s="2" t="n">
        <v>154000</v>
      </c>
      <c r="G162" s="2" t="inlineStr">
        <is>
          <t>B</t>
        </is>
      </c>
      <c r="H162" s="2">
        <f>DATEDIF(E162,TODAY(),"Y")</f>
        <v/>
      </c>
      <c r="I162" s="2" t="n"/>
    </row>
    <row r="163">
      <c r="A163" s="4" t="inlineStr">
        <is>
          <t>EMP10162</t>
        </is>
      </c>
      <c r="B163" s="4" t="inlineStr">
        <is>
          <t>鄭雪瑩</t>
        </is>
      </c>
      <c r="C163" s="4" t="inlineStr">
        <is>
          <t>財務部</t>
        </is>
      </c>
      <c r="D163" s="4" t="inlineStr">
        <is>
          <t>L4</t>
        </is>
      </c>
      <c r="E163" s="5" t="n">
        <v>43777</v>
      </c>
      <c r="F163" s="4" t="n">
        <v>92000</v>
      </c>
      <c r="G163" s="4" t="inlineStr">
        <is>
          <t>C</t>
        </is>
      </c>
      <c r="H163" s="4">
        <f>DATEDIF(E163,TODAY(),"Y")</f>
        <v/>
      </c>
      <c r="I163" s="4" t="n"/>
    </row>
    <row r="164">
      <c r="A164" s="2" t="inlineStr">
        <is>
          <t>EMP10163</t>
        </is>
      </c>
      <c r="B164" s="2" t="inlineStr">
        <is>
          <t>呂芳吟</t>
        </is>
      </c>
      <c r="C164" s="2" t="inlineStr">
        <is>
          <t>工程部</t>
        </is>
      </c>
      <c r="D164" s="2" t="inlineStr">
        <is>
          <t>L4</t>
        </is>
      </c>
      <c r="E164" s="3" t="n">
        <v>44424</v>
      </c>
      <c r="F164" s="2" t="n">
        <v>103000</v>
      </c>
      <c r="G164" s="2" t="inlineStr">
        <is>
          <t>B</t>
        </is>
      </c>
      <c r="H164" s="2">
        <f>DATEDIF(E164,TODAY(),"Y")</f>
        <v/>
      </c>
      <c r="I164" s="2" t="n"/>
    </row>
    <row r="165">
      <c r="A165" s="4" t="inlineStr">
        <is>
          <t>EMP10164</t>
        </is>
      </c>
      <c r="B165" s="4" t="inlineStr">
        <is>
          <t>蘇世傑</t>
        </is>
      </c>
      <c r="C165" s="4" t="inlineStr">
        <is>
          <t>財務部</t>
        </is>
      </c>
      <c r="D165" s="4" t="inlineStr">
        <is>
          <t>L4</t>
        </is>
      </c>
      <c r="E165" s="5" t="n">
        <v>43099</v>
      </c>
      <c r="F165" s="4" t="n">
        <v>105000</v>
      </c>
      <c r="G165" s="4" t="inlineStr">
        <is>
          <t>B</t>
        </is>
      </c>
      <c r="H165" s="4">
        <f>DATEDIF(E165,TODAY(),"Y")</f>
        <v/>
      </c>
      <c r="I165" s="5" t="n">
        <v>44149</v>
      </c>
    </row>
    <row r="166">
      <c r="A166" s="2" t="inlineStr">
        <is>
          <t>EMP10165</t>
        </is>
      </c>
      <c r="B166" s="2" t="inlineStr">
        <is>
          <t>賴勝閎</t>
        </is>
      </c>
      <c r="C166" s="2" t="inlineStr">
        <is>
          <t>產品部</t>
        </is>
      </c>
      <c r="D166" s="2" t="inlineStr">
        <is>
          <t>L3</t>
        </is>
      </c>
      <c r="E166" s="3" t="n">
        <v>42395</v>
      </c>
      <c r="F166" s="2" t="n">
        <v>75000</v>
      </c>
      <c r="G166" s="2" t="inlineStr">
        <is>
          <t>B</t>
        </is>
      </c>
      <c r="H166" s="2">
        <f>DATEDIF(E166,TODAY(),"Y")</f>
        <v/>
      </c>
      <c r="I166" s="2" t="n"/>
    </row>
    <row r="167">
      <c r="A167" s="4" t="inlineStr">
        <is>
          <t>EMP10166</t>
        </is>
      </c>
      <c r="B167" s="4" t="inlineStr">
        <is>
          <t>吳彥廷</t>
        </is>
      </c>
      <c r="C167" s="4" t="inlineStr">
        <is>
          <t>法務部</t>
        </is>
      </c>
      <c r="D167" s="4" t="inlineStr">
        <is>
          <t>L3</t>
        </is>
      </c>
      <c r="E167" s="5" t="n">
        <v>41160</v>
      </c>
      <c r="F167" s="4" t="n">
        <v>69000</v>
      </c>
      <c r="G167" s="4" t="inlineStr">
        <is>
          <t>C</t>
        </is>
      </c>
      <c r="H167" s="4">
        <f>DATEDIF(E167,TODAY(),"Y")</f>
        <v/>
      </c>
      <c r="I167" s="5" t="n">
        <v>42690</v>
      </c>
    </row>
    <row r="168">
      <c r="A168" s="2" t="inlineStr">
        <is>
          <t>EMP10167</t>
        </is>
      </c>
      <c r="B168" s="2" t="inlineStr">
        <is>
          <t>呂子豪</t>
        </is>
      </c>
      <c r="C168" s="2" t="inlineStr">
        <is>
          <t>工程部</t>
        </is>
      </c>
      <c r="D168" s="2" t="inlineStr">
        <is>
          <t>L3</t>
        </is>
      </c>
      <c r="E168" s="3" t="n">
        <v>43461</v>
      </c>
      <c r="F168" s="2" t="n">
        <v>75000</v>
      </c>
      <c r="G168" s="2" t="inlineStr">
        <is>
          <t>B</t>
        </is>
      </c>
      <c r="H168" s="2">
        <f>DATEDIF(E168,TODAY(),"Y")</f>
        <v/>
      </c>
      <c r="I168" s="2" t="n"/>
    </row>
    <row r="169">
      <c r="A169" s="4" t="inlineStr">
        <is>
          <t>EMP10168</t>
        </is>
      </c>
      <c r="B169" s="4" t="inlineStr">
        <is>
          <t>蔡啟誠</t>
        </is>
      </c>
      <c r="C169" s="4" t="inlineStr">
        <is>
          <t>工程部</t>
        </is>
      </c>
      <c r="D169" s="4" t="inlineStr">
        <is>
          <t>L4</t>
        </is>
      </c>
      <c r="E169" s="5" t="n">
        <v>41316</v>
      </c>
      <c r="F169" s="4" t="n">
        <v>86000</v>
      </c>
      <c r="G169" s="4" t="inlineStr">
        <is>
          <t>B</t>
        </is>
      </c>
      <c r="H169" s="4">
        <f>DATEDIF(E169,TODAY(),"Y")</f>
        <v/>
      </c>
      <c r="I169" s="4" t="n"/>
    </row>
    <row r="170">
      <c r="A170" s="2" t="inlineStr">
        <is>
          <t>EMP10169</t>
        </is>
      </c>
      <c r="B170" s="2" t="inlineStr">
        <is>
          <t>呂昱辰</t>
        </is>
      </c>
      <c r="C170" s="2" t="inlineStr">
        <is>
          <t>產品部</t>
        </is>
      </c>
      <c r="D170" s="2" t="inlineStr">
        <is>
          <t>L4</t>
        </is>
      </c>
      <c r="E170" s="3" t="n">
        <v>44301</v>
      </c>
      <c r="F170" s="2" t="n">
        <v>100000</v>
      </c>
      <c r="G170" s="2" t="inlineStr">
        <is>
          <t>C</t>
        </is>
      </c>
      <c r="H170" s="2">
        <f>DATEDIF(E170,TODAY(),"Y")</f>
        <v/>
      </c>
      <c r="I170" s="2" t="n"/>
    </row>
    <row r="171">
      <c r="A171" s="4" t="inlineStr">
        <is>
          <t>EMP10170</t>
        </is>
      </c>
      <c r="B171" s="4" t="inlineStr">
        <is>
          <t>楊建宏</t>
        </is>
      </c>
      <c r="C171" s="4" t="inlineStr">
        <is>
          <t>人資部</t>
        </is>
      </c>
      <c r="D171" s="4" t="inlineStr">
        <is>
          <t>L2</t>
        </is>
      </c>
      <c r="E171" s="5" t="n">
        <v>44895</v>
      </c>
      <c r="F171" s="4" t="n">
        <v>61000</v>
      </c>
      <c r="G171" s="4" t="inlineStr">
        <is>
          <t>A</t>
        </is>
      </c>
      <c r="H171" s="4">
        <f>DATEDIF(E171,TODAY(),"Y")</f>
        <v/>
      </c>
      <c r="I171" s="4" t="n"/>
    </row>
    <row r="172">
      <c r="A172" s="2" t="inlineStr">
        <is>
          <t>EMP10171</t>
        </is>
      </c>
      <c r="B172" s="2" t="inlineStr">
        <is>
          <t>呂冠宇</t>
        </is>
      </c>
      <c r="C172" s="2" t="inlineStr">
        <is>
          <t>行銷部</t>
        </is>
      </c>
      <c r="D172" s="2" t="inlineStr">
        <is>
          <t>L2</t>
        </is>
      </c>
      <c r="E172" s="3" t="n">
        <v>43378</v>
      </c>
      <c r="F172" s="2" t="n">
        <v>49000</v>
      </c>
      <c r="G172" s="2" t="inlineStr">
        <is>
          <t>A</t>
        </is>
      </c>
      <c r="H172" s="2">
        <f>DATEDIF(E172,TODAY(),"Y")</f>
        <v/>
      </c>
      <c r="I172" s="2" t="n"/>
    </row>
    <row r="173">
      <c r="A173" s="4" t="inlineStr">
        <is>
          <t>EMP10172</t>
        </is>
      </c>
      <c r="B173" s="4" t="inlineStr">
        <is>
          <t>洪佩珊</t>
        </is>
      </c>
      <c r="C173" s="4" t="inlineStr">
        <is>
          <t>工程部</t>
        </is>
      </c>
      <c r="D173" s="4" t="inlineStr">
        <is>
          <t>L4</t>
        </is>
      </c>
      <c r="E173" s="5" t="n">
        <v>40972</v>
      </c>
      <c r="F173" s="4" t="n">
        <v>94000</v>
      </c>
      <c r="G173" s="4" t="inlineStr">
        <is>
          <t>B</t>
        </is>
      </c>
      <c r="H173" s="4">
        <f>DATEDIF(E173,TODAY(),"Y")</f>
        <v/>
      </c>
      <c r="I173" s="4" t="n"/>
    </row>
    <row r="174">
      <c r="A174" s="2" t="inlineStr">
        <is>
          <t>EMP10173</t>
        </is>
      </c>
      <c r="B174" s="2" t="inlineStr">
        <is>
          <t>葉承恩</t>
        </is>
      </c>
      <c r="C174" s="2" t="inlineStr">
        <is>
          <t>行銷部</t>
        </is>
      </c>
      <c r="D174" s="2" t="inlineStr">
        <is>
          <t>L2</t>
        </is>
      </c>
      <c r="E174" s="3" t="n">
        <v>45007</v>
      </c>
      <c r="F174" s="2" t="n">
        <v>65000</v>
      </c>
      <c r="G174" s="2" t="inlineStr">
        <is>
          <t>C</t>
        </is>
      </c>
      <c r="H174" s="2">
        <f>DATEDIF(E174,TODAY(),"Y")</f>
        <v/>
      </c>
      <c r="I174" s="2" t="n"/>
    </row>
    <row r="175">
      <c r="A175" s="4" t="inlineStr">
        <is>
          <t>EMP10174</t>
        </is>
      </c>
      <c r="B175" s="4" t="inlineStr">
        <is>
          <t>羅柏翰</t>
        </is>
      </c>
      <c r="C175" s="4" t="inlineStr">
        <is>
          <t>法務部</t>
        </is>
      </c>
      <c r="D175" s="4" t="inlineStr">
        <is>
          <t>L2</t>
        </is>
      </c>
      <c r="E175" s="5" t="n">
        <v>44675</v>
      </c>
      <c r="F175" s="4" t="n">
        <v>49000</v>
      </c>
      <c r="G175" s="4" t="inlineStr">
        <is>
          <t>B</t>
        </is>
      </c>
      <c r="H175" s="4">
        <f>DATEDIF(E175,TODAY(),"Y")</f>
        <v/>
      </c>
      <c r="I175" s="4" t="n"/>
    </row>
    <row r="176">
      <c r="A176" s="2" t="inlineStr">
        <is>
          <t>EMP10175</t>
        </is>
      </c>
      <c r="B176" s="2" t="inlineStr">
        <is>
          <t>謝佳音</t>
        </is>
      </c>
      <c r="C176" s="2" t="inlineStr">
        <is>
          <t>財務部</t>
        </is>
      </c>
      <c r="D176" s="2" t="inlineStr">
        <is>
          <t>L3</t>
        </is>
      </c>
      <c r="E176" s="3" t="n">
        <v>44330</v>
      </c>
      <c r="F176" s="2" t="n">
        <v>83000</v>
      </c>
      <c r="G176" s="2" t="inlineStr">
        <is>
          <t>B</t>
        </is>
      </c>
      <c r="H176" s="2">
        <f>DATEDIF(E176,TODAY(),"Y")</f>
        <v/>
      </c>
      <c r="I176" s="2" t="n"/>
    </row>
    <row r="177">
      <c r="A177" s="4" t="inlineStr">
        <is>
          <t>EMP10176</t>
        </is>
      </c>
      <c r="B177" s="4" t="inlineStr">
        <is>
          <t>蕭婉如</t>
        </is>
      </c>
      <c r="C177" s="4" t="inlineStr">
        <is>
          <t>工程部</t>
        </is>
      </c>
      <c r="D177" s="4" t="inlineStr">
        <is>
          <t>L6</t>
        </is>
      </c>
      <c r="E177" s="5" t="n">
        <v>44678</v>
      </c>
      <c r="F177" s="4" t="n">
        <v>140000</v>
      </c>
      <c r="G177" s="4" t="inlineStr">
        <is>
          <t>C</t>
        </is>
      </c>
      <c r="H177" s="4">
        <f>DATEDIF(E177,TODAY(),"Y")</f>
        <v/>
      </c>
      <c r="I177" s="4" t="n"/>
    </row>
    <row r="178">
      <c r="A178" s="2" t="inlineStr">
        <is>
          <t>EMP10177</t>
        </is>
      </c>
      <c r="B178" s="2" t="inlineStr">
        <is>
          <t>謝美玲</t>
        </is>
      </c>
      <c r="C178" s="2" t="inlineStr">
        <is>
          <t>業務部</t>
        </is>
      </c>
      <c r="D178" s="2" t="inlineStr">
        <is>
          <t>L2</t>
        </is>
      </c>
      <c r="E178" s="3" t="n">
        <v>44189</v>
      </c>
      <c r="F178" s="2" t="n">
        <v>51000</v>
      </c>
      <c r="G178" s="2" t="inlineStr">
        <is>
          <t>B</t>
        </is>
      </c>
      <c r="H178" s="2">
        <f>DATEDIF(E178,TODAY(),"Y")</f>
        <v/>
      </c>
      <c r="I178" s="2" t="n"/>
    </row>
    <row r="179">
      <c r="A179" s="4" t="inlineStr">
        <is>
          <t>EMP10178</t>
        </is>
      </c>
      <c r="B179" s="4" t="inlineStr">
        <is>
          <t>張盈潔</t>
        </is>
      </c>
      <c r="C179" s="4" t="inlineStr">
        <is>
          <t>法務部</t>
        </is>
      </c>
      <c r="D179" s="4" t="inlineStr">
        <is>
          <t>L4</t>
        </is>
      </c>
      <c r="E179" s="5" t="n">
        <v>42286</v>
      </c>
      <c r="F179" s="4" t="n">
        <v>92000</v>
      </c>
      <c r="G179" s="4" t="inlineStr">
        <is>
          <t>B</t>
        </is>
      </c>
      <c r="H179" s="4">
        <f>DATEDIF(E179,TODAY(),"Y")</f>
        <v/>
      </c>
      <c r="I179" s="5" t="n">
        <v>44026</v>
      </c>
    </row>
    <row r="180">
      <c r="A180" s="2" t="inlineStr">
        <is>
          <t>EMP10179</t>
        </is>
      </c>
      <c r="B180" s="2" t="inlineStr">
        <is>
          <t>李峻豪</t>
        </is>
      </c>
      <c r="C180" s="2" t="inlineStr">
        <is>
          <t>人資部</t>
        </is>
      </c>
      <c r="D180" s="2" t="inlineStr">
        <is>
          <t>L3</t>
        </is>
      </c>
      <c r="E180" s="3" t="n">
        <v>42118</v>
      </c>
      <c r="F180" s="2" t="n">
        <v>76000</v>
      </c>
      <c r="G180" s="2" t="inlineStr">
        <is>
          <t>B</t>
        </is>
      </c>
      <c r="H180" s="2">
        <f>DATEDIF(E180,TODAY(),"Y")</f>
        <v/>
      </c>
      <c r="I180" s="2" t="n"/>
    </row>
    <row r="181">
      <c r="A181" s="4" t="inlineStr">
        <is>
          <t>EMP10180</t>
        </is>
      </c>
      <c r="B181" s="4" t="inlineStr">
        <is>
          <t>呂翰林</t>
        </is>
      </c>
      <c r="C181" s="4" t="inlineStr">
        <is>
          <t>業務部</t>
        </is>
      </c>
      <c r="D181" s="4" t="inlineStr">
        <is>
          <t>L2</t>
        </is>
      </c>
      <c r="E181" s="5" t="n">
        <v>41526</v>
      </c>
      <c r="F181" s="4" t="n">
        <v>52000</v>
      </c>
      <c r="G181" s="4" t="inlineStr">
        <is>
          <t>C</t>
        </is>
      </c>
      <c r="H181" s="4">
        <f>DATEDIF(E181,TODAY(),"Y")</f>
        <v/>
      </c>
      <c r="I181" s="4" t="n"/>
    </row>
    <row r="182">
      <c r="A182" s="2" t="inlineStr">
        <is>
          <t>EMP10181</t>
        </is>
      </c>
      <c r="B182" s="2" t="inlineStr">
        <is>
          <t>高子豪</t>
        </is>
      </c>
      <c r="C182" s="2" t="inlineStr">
        <is>
          <t>工程部</t>
        </is>
      </c>
      <c r="D182" s="2" t="inlineStr">
        <is>
          <t>L3</t>
        </is>
      </c>
      <c r="E182" s="3" t="n">
        <v>44586</v>
      </c>
      <c r="F182" s="2" t="n">
        <v>83000</v>
      </c>
      <c r="G182" s="2" t="inlineStr">
        <is>
          <t>C</t>
        </is>
      </c>
      <c r="H182" s="2">
        <f>DATEDIF(E182,TODAY(),"Y")</f>
        <v/>
      </c>
      <c r="I182" s="2" t="n"/>
    </row>
    <row r="183">
      <c r="A183" s="4" t="inlineStr">
        <is>
          <t>EMP10182</t>
        </is>
      </c>
      <c r="B183" s="4" t="inlineStr">
        <is>
          <t>黃奕辰</t>
        </is>
      </c>
      <c r="C183" s="4" t="inlineStr">
        <is>
          <t>工程部</t>
        </is>
      </c>
      <c r="D183" s="4" t="inlineStr">
        <is>
          <t>L4</t>
        </is>
      </c>
      <c r="E183" s="5" t="n">
        <v>43498</v>
      </c>
      <c r="F183" s="4" t="n">
        <v>104000</v>
      </c>
      <c r="G183" s="4" t="inlineStr">
        <is>
          <t>B</t>
        </is>
      </c>
      <c r="H183" s="4">
        <f>DATEDIF(E183,TODAY(),"Y")</f>
        <v/>
      </c>
      <c r="I183" s="4" t="n"/>
    </row>
    <row r="184">
      <c r="A184" s="2" t="inlineStr">
        <is>
          <t>EMP10183</t>
        </is>
      </c>
      <c r="B184" s="2" t="inlineStr">
        <is>
          <t>黃美玲</t>
        </is>
      </c>
      <c r="C184" s="2" t="inlineStr">
        <is>
          <t>工程部</t>
        </is>
      </c>
      <c r="D184" s="2" t="inlineStr">
        <is>
          <t>L3</t>
        </is>
      </c>
      <c r="E184" s="3" t="n">
        <v>41369</v>
      </c>
      <c r="F184" s="2" t="n">
        <v>74000</v>
      </c>
      <c r="G184" s="2" t="inlineStr">
        <is>
          <t>C</t>
        </is>
      </c>
      <c r="H184" s="2">
        <f>DATEDIF(E184,TODAY(),"Y")</f>
        <v/>
      </c>
      <c r="I184" s="2" t="n"/>
    </row>
    <row r="185">
      <c r="A185" s="4" t="inlineStr">
        <is>
          <t>EMP10184</t>
        </is>
      </c>
      <c r="B185" s="4" t="inlineStr">
        <is>
          <t>徐文軒</t>
        </is>
      </c>
      <c r="C185" s="4" t="inlineStr">
        <is>
          <t>工程部</t>
        </is>
      </c>
      <c r="D185" s="4" t="inlineStr">
        <is>
          <t>L3</t>
        </is>
      </c>
      <c r="E185" s="5" t="n">
        <v>43260</v>
      </c>
      <c r="F185" s="4" t="n">
        <v>66000</v>
      </c>
      <c r="G185" s="4" t="inlineStr">
        <is>
          <t>A</t>
        </is>
      </c>
      <c r="H185" s="4">
        <f>DATEDIF(E185,TODAY(),"Y")</f>
        <v/>
      </c>
      <c r="I185" s="5" t="n">
        <v>43950</v>
      </c>
    </row>
    <row r="186">
      <c r="A186" s="2" t="inlineStr">
        <is>
          <t>EMP10185</t>
        </is>
      </c>
      <c r="B186" s="2" t="inlineStr">
        <is>
          <t>江子豪</t>
        </is>
      </c>
      <c r="C186" s="2" t="inlineStr">
        <is>
          <t>工程部</t>
        </is>
      </c>
      <c r="D186" s="2" t="inlineStr">
        <is>
          <t>L3</t>
        </is>
      </c>
      <c r="E186" s="3" t="n">
        <v>41245</v>
      </c>
      <c r="F186" s="2" t="n">
        <v>79000</v>
      </c>
      <c r="G186" s="2" t="inlineStr">
        <is>
          <t>B</t>
        </is>
      </c>
      <c r="H186" s="2">
        <f>DATEDIF(E186,TODAY(),"Y")</f>
        <v/>
      </c>
      <c r="I186" s="2" t="n"/>
    </row>
    <row r="187">
      <c r="A187" s="4" t="inlineStr">
        <is>
          <t>EMP10186</t>
        </is>
      </c>
      <c r="B187" s="4" t="inlineStr">
        <is>
          <t>林啟誠</t>
        </is>
      </c>
      <c r="C187" s="4" t="inlineStr">
        <is>
          <t>行銷部</t>
        </is>
      </c>
      <c r="D187" s="4" t="inlineStr">
        <is>
          <t>L3</t>
        </is>
      </c>
      <c r="E187" s="5" t="n">
        <v>45016</v>
      </c>
      <c r="F187" s="4" t="n">
        <v>75000</v>
      </c>
      <c r="G187" s="4" t="inlineStr">
        <is>
          <t>C</t>
        </is>
      </c>
      <c r="H187" s="4">
        <f>DATEDIF(E187,TODAY(),"Y")</f>
        <v/>
      </c>
      <c r="I187" s="4" t="n"/>
    </row>
    <row r="188">
      <c r="A188" s="2" t="inlineStr">
        <is>
          <t>EMP10187</t>
        </is>
      </c>
      <c r="B188" s="2" t="inlineStr">
        <is>
          <t>王建宏</t>
        </is>
      </c>
      <c r="C188" s="2" t="inlineStr">
        <is>
          <t>人資部</t>
        </is>
      </c>
      <c r="D188" s="2" t="inlineStr">
        <is>
          <t>L2</t>
        </is>
      </c>
      <c r="E188" s="3" t="n">
        <v>41599</v>
      </c>
      <c r="F188" s="2" t="n">
        <v>58000</v>
      </c>
      <c r="G188" s="2" t="inlineStr">
        <is>
          <t>D</t>
        </is>
      </c>
      <c r="H188" s="2">
        <f>DATEDIF(E188,TODAY(),"Y")</f>
        <v/>
      </c>
      <c r="I188" s="2" t="n"/>
    </row>
    <row r="189">
      <c r="A189" s="4" t="inlineStr">
        <is>
          <t>EMP10188</t>
        </is>
      </c>
      <c r="B189" s="4" t="inlineStr">
        <is>
          <t>王婉如</t>
        </is>
      </c>
      <c r="C189" s="4" t="inlineStr">
        <is>
          <t>工程部</t>
        </is>
      </c>
      <c r="D189" s="4" t="inlineStr">
        <is>
          <t>L2</t>
        </is>
      </c>
      <c r="E189" s="5" t="n">
        <v>45202</v>
      </c>
      <c r="F189" s="4" t="n">
        <v>62000</v>
      </c>
      <c r="G189" s="4" t="inlineStr">
        <is>
          <t>D</t>
        </is>
      </c>
      <c r="H189" s="4">
        <f>DATEDIF(E189,TODAY(),"Y")</f>
        <v/>
      </c>
      <c r="I189" s="4" t="n"/>
    </row>
    <row r="190">
      <c r="A190" s="2" t="inlineStr">
        <is>
          <t>EMP10189</t>
        </is>
      </c>
      <c r="B190" s="2" t="inlineStr">
        <is>
          <t>林翰林</t>
        </is>
      </c>
      <c r="C190" s="2" t="inlineStr">
        <is>
          <t>業務部</t>
        </is>
      </c>
      <c r="D190" s="2" t="inlineStr">
        <is>
          <t>L3</t>
        </is>
      </c>
      <c r="E190" s="3" t="n">
        <v>43680</v>
      </c>
      <c r="F190" s="2" t="n">
        <v>74000</v>
      </c>
      <c r="G190" s="2" t="inlineStr">
        <is>
          <t>B</t>
        </is>
      </c>
      <c r="H190" s="2">
        <f>DATEDIF(E190,TODAY(),"Y")</f>
        <v/>
      </c>
      <c r="I190" s="2" t="n"/>
    </row>
    <row r="191">
      <c r="A191" s="4" t="inlineStr">
        <is>
          <t>EMP10190</t>
        </is>
      </c>
      <c r="B191" s="4" t="inlineStr">
        <is>
          <t>莊勝閎</t>
        </is>
      </c>
      <c r="C191" s="4" t="inlineStr">
        <is>
          <t>財務部</t>
        </is>
      </c>
      <c r="D191" s="4" t="inlineStr">
        <is>
          <t>L4</t>
        </is>
      </c>
      <c r="E191" s="5" t="n">
        <v>44075</v>
      </c>
      <c r="F191" s="4" t="n">
        <v>87000</v>
      </c>
      <c r="G191" s="4" t="inlineStr">
        <is>
          <t>B</t>
        </is>
      </c>
      <c r="H191" s="4">
        <f>DATEDIF(E191,TODAY(),"Y")</f>
        <v/>
      </c>
      <c r="I191" s="4" t="n"/>
    </row>
    <row r="192">
      <c r="A192" s="2" t="inlineStr">
        <is>
          <t>EMP10191</t>
        </is>
      </c>
      <c r="B192" s="2" t="inlineStr">
        <is>
          <t>李承恩</t>
        </is>
      </c>
      <c r="C192" s="2" t="inlineStr">
        <is>
          <t>工程部</t>
        </is>
      </c>
      <c r="D192" s="2" t="inlineStr">
        <is>
          <t>L6</t>
        </is>
      </c>
      <c r="E192" s="3" t="n">
        <v>43639</v>
      </c>
      <c r="F192" s="2" t="n">
        <v>154000</v>
      </c>
      <c r="G192" s="2" t="inlineStr">
        <is>
          <t>C</t>
        </is>
      </c>
      <c r="H192" s="2">
        <f>DATEDIF(E192,TODAY(),"Y")</f>
        <v/>
      </c>
      <c r="I192" s="3" t="n">
        <v>45439</v>
      </c>
    </row>
    <row r="193">
      <c r="A193" s="4" t="inlineStr">
        <is>
          <t>EMP10192</t>
        </is>
      </c>
      <c r="B193" s="4" t="inlineStr">
        <is>
          <t>蘇思涵</t>
        </is>
      </c>
      <c r="C193" s="4" t="inlineStr">
        <is>
          <t>法務部</t>
        </is>
      </c>
      <c r="D193" s="4" t="inlineStr">
        <is>
          <t>L3</t>
        </is>
      </c>
      <c r="E193" s="5" t="n">
        <v>44119</v>
      </c>
      <c r="F193" s="4" t="n">
        <v>85000</v>
      </c>
      <c r="G193" s="4" t="inlineStr">
        <is>
          <t>C</t>
        </is>
      </c>
      <c r="H193" s="4">
        <f>DATEDIF(E193,TODAY(),"Y")</f>
        <v/>
      </c>
      <c r="I193" s="4" t="n"/>
    </row>
    <row r="194">
      <c r="A194" s="2" t="inlineStr">
        <is>
          <t>EMP10193</t>
        </is>
      </c>
      <c r="B194" s="2" t="inlineStr">
        <is>
          <t>葉耀德</t>
        </is>
      </c>
      <c r="C194" s="2" t="inlineStr">
        <is>
          <t>工程部</t>
        </is>
      </c>
      <c r="D194" s="2" t="inlineStr">
        <is>
          <t>L3</t>
        </is>
      </c>
      <c r="E194" s="3" t="n">
        <v>43599</v>
      </c>
      <c r="F194" s="2" t="n">
        <v>77000</v>
      </c>
      <c r="G194" s="2" t="inlineStr">
        <is>
          <t>C</t>
        </is>
      </c>
      <c r="H194" s="2">
        <f>DATEDIF(E194,TODAY(),"Y")</f>
        <v/>
      </c>
      <c r="I194" s="2" t="n"/>
    </row>
    <row r="195">
      <c r="A195" s="4" t="inlineStr">
        <is>
          <t>EMP10194</t>
        </is>
      </c>
      <c r="B195" s="4" t="inlineStr">
        <is>
          <t>洪昱辰</t>
        </is>
      </c>
      <c r="C195" s="4" t="inlineStr">
        <is>
          <t>工程部</t>
        </is>
      </c>
      <c r="D195" s="4" t="inlineStr">
        <is>
          <t>L5</t>
        </is>
      </c>
      <c r="E195" s="5" t="n">
        <v>45221</v>
      </c>
      <c r="F195" s="4" t="n">
        <v>133000</v>
      </c>
      <c r="G195" s="4" t="inlineStr">
        <is>
          <t>D</t>
        </is>
      </c>
      <c r="H195" s="4">
        <f>DATEDIF(E195,TODAY(),"Y")</f>
        <v/>
      </c>
      <c r="I195" s="5" t="n">
        <v>45657</v>
      </c>
    </row>
    <row r="196">
      <c r="A196" s="2" t="inlineStr">
        <is>
          <t>EMP10195</t>
        </is>
      </c>
      <c r="B196" s="2" t="inlineStr">
        <is>
          <t>呂湘婷</t>
        </is>
      </c>
      <c r="C196" s="2" t="inlineStr">
        <is>
          <t>產品部</t>
        </is>
      </c>
      <c r="D196" s="2" t="inlineStr">
        <is>
          <t>L3</t>
        </is>
      </c>
      <c r="E196" s="3" t="n">
        <v>42663</v>
      </c>
      <c r="F196" s="2" t="n">
        <v>76000</v>
      </c>
      <c r="G196" s="2" t="inlineStr">
        <is>
          <t>B</t>
        </is>
      </c>
      <c r="H196" s="2">
        <f>DATEDIF(E196,TODAY(),"Y")</f>
        <v/>
      </c>
      <c r="I196" s="2" t="n"/>
    </row>
    <row r="197">
      <c r="A197" s="4" t="inlineStr">
        <is>
          <t>EMP10196</t>
        </is>
      </c>
      <c r="B197" s="4" t="inlineStr">
        <is>
          <t>張昱辰</t>
        </is>
      </c>
      <c r="C197" s="4" t="inlineStr">
        <is>
          <t>產品部</t>
        </is>
      </c>
      <c r="D197" s="4" t="inlineStr">
        <is>
          <t>L3</t>
        </is>
      </c>
      <c r="E197" s="5" t="n">
        <v>43332</v>
      </c>
      <c r="F197" s="4" t="n">
        <v>69000</v>
      </c>
      <c r="G197" s="4" t="inlineStr">
        <is>
          <t>B</t>
        </is>
      </c>
      <c r="H197" s="4">
        <f>DATEDIF(E197,TODAY(),"Y")</f>
        <v/>
      </c>
      <c r="I197" s="4" t="n"/>
    </row>
    <row r="198">
      <c r="A198" s="2" t="inlineStr">
        <is>
          <t>EMP10197</t>
        </is>
      </c>
      <c r="B198" s="2" t="inlineStr">
        <is>
          <t>高巧云</t>
        </is>
      </c>
      <c r="C198" s="2" t="inlineStr">
        <is>
          <t>法務部</t>
        </is>
      </c>
      <c r="D198" s="2" t="inlineStr">
        <is>
          <t>L4</t>
        </is>
      </c>
      <c r="E198" s="3" t="n">
        <v>41218</v>
      </c>
      <c r="F198" s="2" t="n">
        <v>108000</v>
      </c>
      <c r="G198" s="2" t="inlineStr">
        <is>
          <t>C</t>
        </is>
      </c>
      <c r="H198" s="2">
        <f>DATEDIF(E198,TODAY(),"Y")</f>
        <v/>
      </c>
      <c r="I198" s="2" t="n"/>
    </row>
    <row r="199">
      <c r="A199" s="4" t="inlineStr">
        <is>
          <t>EMP10198</t>
        </is>
      </c>
      <c r="B199" s="4" t="inlineStr">
        <is>
          <t>蘇巧云</t>
        </is>
      </c>
      <c r="C199" s="4" t="inlineStr">
        <is>
          <t>工程部</t>
        </is>
      </c>
      <c r="D199" s="4" t="inlineStr">
        <is>
          <t>L4</t>
        </is>
      </c>
      <c r="E199" s="5" t="n">
        <v>42238</v>
      </c>
      <c r="F199" s="4" t="n">
        <v>104000</v>
      </c>
      <c r="G199" s="4" t="inlineStr">
        <is>
          <t>B</t>
        </is>
      </c>
      <c r="H199" s="4">
        <f>DATEDIF(E199,TODAY(),"Y")</f>
        <v/>
      </c>
      <c r="I199" s="4" t="n"/>
    </row>
    <row r="200">
      <c r="A200" s="2" t="inlineStr">
        <is>
          <t>EMP10199</t>
        </is>
      </c>
      <c r="B200" s="2" t="inlineStr">
        <is>
          <t>葉碩宇</t>
        </is>
      </c>
      <c r="C200" s="2" t="inlineStr">
        <is>
          <t>工程部</t>
        </is>
      </c>
      <c r="D200" s="2" t="inlineStr">
        <is>
          <t>L4</t>
        </is>
      </c>
      <c r="E200" s="3" t="n">
        <v>41266</v>
      </c>
      <c r="F200" s="2" t="n">
        <v>90000</v>
      </c>
      <c r="G200" s="2" t="inlineStr">
        <is>
          <t>C</t>
        </is>
      </c>
      <c r="H200" s="2">
        <f>DATEDIF(E200,TODAY(),"Y")</f>
        <v/>
      </c>
      <c r="I200" s="2" t="n"/>
    </row>
    <row r="201">
      <c r="A201" s="4" t="inlineStr">
        <is>
          <t>EMP10200</t>
        </is>
      </c>
      <c r="B201" s="4" t="inlineStr">
        <is>
          <t>劉美玲</t>
        </is>
      </c>
      <c r="C201" s="4" t="inlineStr">
        <is>
          <t>人資部</t>
        </is>
      </c>
      <c r="D201" s="4" t="inlineStr">
        <is>
          <t>L2</t>
        </is>
      </c>
      <c r="E201" s="5" t="n">
        <v>44586</v>
      </c>
      <c r="F201" s="4" t="n">
        <v>62000</v>
      </c>
      <c r="G201" s="4" t="inlineStr">
        <is>
          <t>C</t>
        </is>
      </c>
      <c r="H201" s="4">
        <f>DATEDIF(E201,TODAY(),"Y")</f>
        <v/>
      </c>
      <c r="I201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部門</t>
        </is>
      </c>
      <c r="B1" s="1" t="inlineStr">
        <is>
          <t>人數</t>
        </is>
      </c>
      <c r="C1" s="1" t="inlineStr">
        <is>
          <t>平均月薪</t>
        </is>
      </c>
      <c r="D1" s="1" t="inlineStr">
        <is>
          <t>最高月薪</t>
        </is>
      </c>
      <c r="E1" s="1" t="inlineStr">
        <is>
          <t>最低月薪</t>
        </is>
      </c>
      <c r="F1" s="1" t="inlineStr">
        <is>
          <t>薪資中位數</t>
        </is>
      </c>
    </row>
    <row r="2">
      <c r="A2" t="inlineStr">
        <is>
          <t>工程部</t>
        </is>
      </c>
      <c r="B2">
        <f>COUNTIF(員工資料!C:C,A2)</f>
        <v/>
      </c>
      <c r="C2" s="6">
        <f>IFERROR(AVERAGEIF(員工資料!C:C,A2,員工資料!F:F),0)</f>
        <v/>
      </c>
      <c r="D2" s="6">
        <f>IFERROR(MAXIFS(員工資料!F:F,員工資料!C:C,A2),0)</f>
        <v/>
      </c>
      <c r="E2" s="6">
        <f>IFERROR(MINIFS(員工資料!F:F,員工資料!C:C,A2),0)</f>
        <v/>
      </c>
      <c r="F2" s="6">
        <f>IFERROR(AVERAGEIF(員工資料!C:C,A2,員工資料!F:F),0)</f>
        <v/>
      </c>
    </row>
    <row r="3">
      <c r="A3" t="inlineStr">
        <is>
          <t>產品部</t>
        </is>
      </c>
      <c r="B3">
        <f>COUNTIF(員工資料!C:C,A3)</f>
        <v/>
      </c>
      <c r="C3" s="6">
        <f>IFERROR(AVERAGEIF(員工資料!C:C,A3,員工資料!F:F),0)</f>
        <v/>
      </c>
      <c r="D3" s="6">
        <f>IFERROR(MAXIFS(員工資料!F:F,員工資料!C:C,A3),0)</f>
        <v/>
      </c>
      <c r="E3" s="6">
        <f>IFERROR(MINIFS(員工資料!F:F,員工資料!C:C,A3),0)</f>
        <v/>
      </c>
      <c r="F3" s="6">
        <f>IFERROR(AVERAGEIF(員工資料!C:C,A3,員工資料!F:F),0)</f>
        <v/>
      </c>
    </row>
    <row r="4">
      <c r="A4" t="inlineStr">
        <is>
          <t>行銷部</t>
        </is>
      </c>
      <c r="B4">
        <f>COUNTIF(員工資料!C:C,A4)</f>
        <v/>
      </c>
      <c r="C4" s="6">
        <f>IFERROR(AVERAGEIF(員工資料!C:C,A4,員工資料!F:F),0)</f>
        <v/>
      </c>
      <c r="D4" s="6">
        <f>IFERROR(MAXIFS(員工資料!F:F,員工資料!C:C,A4),0)</f>
        <v/>
      </c>
      <c r="E4" s="6">
        <f>IFERROR(MINIFS(員工資料!F:F,員工資料!C:C,A4),0)</f>
        <v/>
      </c>
      <c r="F4" s="6">
        <f>IFERROR(AVERAGEIF(員工資料!C:C,A4,員工資料!F:F),0)</f>
        <v/>
      </c>
    </row>
    <row r="5">
      <c r="A5" t="inlineStr">
        <is>
          <t>業務部</t>
        </is>
      </c>
      <c r="B5">
        <f>COUNTIF(員工資料!C:C,A5)</f>
        <v/>
      </c>
      <c r="C5" s="6">
        <f>IFERROR(AVERAGEIF(員工資料!C:C,A5,員工資料!F:F),0)</f>
        <v/>
      </c>
      <c r="D5" s="6">
        <f>IFERROR(MAXIFS(員工資料!F:F,員工資料!C:C,A5),0)</f>
        <v/>
      </c>
      <c r="E5" s="6">
        <f>IFERROR(MINIFS(員工資料!F:F,員工資料!C:C,A5),0)</f>
        <v/>
      </c>
      <c r="F5" s="6">
        <f>IFERROR(AVERAGEIF(員工資料!C:C,A5,員工資料!F:F),0)</f>
        <v/>
      </c>
    </row>
    <row r="6">
      <c r="A6" t="inlineStr">
        <is>
          <t>人資部</t>
        </is>
      </c>
      <c r="B6">
        <f>COUNTIF(員工資料!C:C,A6)</f>
        <v/>
      </c>
      <c r="C6" s="6">
        <f>IFERROR(AVERAGEIF(員工資料!C:C,A6,員工資料!F:F),0)</f>
        <v/>
      </c>
      <c r="D6" s="6">
        <f>IFERROR(MAXIFS(員工資料!F:F,員工資料!C:C,A6),0)</f>
        <v/>
      </c>
      <c r="E6" s="6">
        <f>IFERROR(MINIFS(員工資料!F:F,員工資料!C:C,A6),0)</f>
        <v/>
      </c>
      <c r="F6" s="6">
        <f>IFERROR(AVERAGEIF(員工資料!C:C,A6,員工資料!F:F),0)</f>
        <v/>
      </c>
    </row>
    <row r="7">
      <c r="A7" t="inlineStr">
        <is>
          <t>財務部</t>
        </is>
      </c>
      <c r="B7">
        <f>COUNTIF(員工資料!C:C,A7)</f>
        <v/>
      </c>
      <c r="C7" s="6">
        <f>IFERROR(AVERAGEIF(員工資料!C:C,A7,員工資料!F:F),0)</f>
        <v/>
      </c>
      <c r="D7" s="6">
        <f>IFERROR(MAXIFS(員工資料!F:F,員工資料!C:C,A7),0)</f>
        <v/>
      </c>
      <c r="E7" s="6">
        <f>IFERROR(MINIFS(員工資料!F:F,員工資料!C:C,A7),0)</f>
        <v/>
      </c>
      <c r="F7" s="6">
        <f>IFERROR(AVERAGEIF(員工資料!C:C,A7,員工資料!F:F),0)</f>
        <v/>
      </c>
    </row>
    <row r="8">
      <c r="A8" t="inlineStr">
        <is>
          <t>法務部</t>
        </is>
      </c>
      <c r="B8">
        <f>COUNTIF(員工資料!C:C,A8)</f>
        <v/>
      </c>
      <c r="C8" s="6">
        <f>IFERROR(AVERAGEIF(員工資料!C:C,A8,員工資料!F:F),0)</f>
        <v/>
      </c>
      <c r="D8" s="6">
        <f>IFERROR(MAXIFS(員工資料!F:F,員工資料!C:C,A8),0)</f>
        <v/>
      </c>
      <c r="E8" s="6">
        <f>IFERROR(MINIFS(員工資料!F:F,員工資料!C:C,A8),0)</f>
        <v/>
      </c>
      <c r="F8" s="6">
        <f>IFERROR(AVERAGEIF(員工資料!C:C,A8,員工資料!F:F),0)</f>
        <v/>
      </c>
    </row>
    <row r="9">
      <c r="A9" s="7" t="inlineStr">
        <is>
          <t>全體合計</t>
        </is>
      </c>
      <c r="B9" s="7">
        <f>SUM(B2:B8)</f>
        <v/>
      </c>
      <c r="C9" s="8">
        <f>AVERAGE(員工資料!F2:F201)</f>
        <v/>
      </c>
      <c r="D9" s="8">
        <f>MAX(員工資料!F2:F201)</f>
        <v/>
      </c>
      <c r="E9" s="8">
        <f>MIN(員工資料!F2:F201)</f>
        <v/>
      </c>
      <c r="F9" s="8">
        <f>MEDIAN(員工資料!F2:F201)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部門</t>
        </is>
      </c>
      <c r="B1" s="1" t="inlineStr">
        <is>
          <t>A級人數</t>
        </is>
      </c>
      <c r="C1" s="1" t="inlineStr">
        <is>
          <t>B級人數</t>
        </is>
      </c>
      <c r="D1" s="1" t="inlineStr">
        <is>
          <t>C級人數</t>
        </is>
      </c>
      <c r="E1" s="1" t="inlineStr">
        <is>
          <t>D級人數</t>
        </is>
      </c>
      <c r="F1" s="1" t="inlineStr">
        <is>
          <t>總人數</t>
        </is>
      </c>
      <c r="G1" s="1" t="inlineStr">
        <is>
          <t>A率%</t>
        </is>
      </c>
      <c r="H1" s="1" t="inlineStr">
        <is>
          <t>B率%</t>
        </is>
      </c>
    </row>
    <row r="2">
      <c r="A2" t="inlineStr">
        <is>
          <t>工程部</t>
        </is>
      </c>
      <c r="B2">
        <f>COUNTIFS(員工資料!C:C,A2,員工資料!G:G,"A")</f>
        <v/>
      </c>
      <c r="C2">
        <f>COUNTIFS(員工資料!C:C,A2,員工資料!G:G,"B")</f>
        <v/>
      </c>
      <c r="D2">
        <f>COUNTIFS(員工資料!C:C,A2,員工資料!G:G,"C")</f>
        <v/>
      </c>
      <c r="E2">
        <f>COUNTIFS(員工資料!C:C,A2,員工資料!G:G,"D")</f>
        <v/>
      </c>
      <c r="F2">
        <f>SUM(B2:E2)</f>
        <v/>
      </c>
      <c r="G2" s="9">
        <f>IFERROR(B2/F2,0)</f>
        <v/>
      </c>
      <c r="H2" s="9">
        <f>IFERROR(C2/F2,0)</f>
        <v/>
      </c>
    </row>
    <row r="3">
      <c r="A3" t="inlineStr">
        <is>
          <t>產品部</t>
        </is>
      </c>
      <c r="B3">
        <f>COUNTIFS(員工資料!C:C,A3,員工資料!G:G,"A")</f>
        <v/>
      </c>
      <c r="C3">
        <f>COUNTIFS(員工資料!C:C,A3,員工資料!G:G,"B")</f>
        <v/>
      </c>
      <c r="D3">
        <f>COUNTIFS(員工資料!C:C,A3,員工資料!G:G,"C")</f>
        <v/>
      </c>
      <c r="E3">
        <f>COUNTIFS(員工資料!C:C,A3,員工資料!G:G,"D")</f>
        <v/>
      </c>
      <c r="F3">
        <f>SUM(B3:E3)</f>
        <v/>
      </c>
      <c r="G3" s="9">
        <f>IFERROR(B3/F3,0)</f>
        <v/>
      </c>
      <c r="H3" s="9">
        <f>IFERROR(C3/F3,0)</f>
        <v/>
      </c>
    </row>
    <row r="4">
      <c r="A4" t="inlineStr">
        <is>
          <t>行銷部</t>
        </is>
      </c>
      <c r="B4">
        <f>COUNTIFS(員工資料!C:C,A4,員工資料!G:G,"A")</f>
        <v/>
      </c>
      <c r="C4">
        <f>COUNTIFS(員工資料!C:C,A4,員工資料!G:G,"B")</f>
        <v/>
      </c>
      <c r="D4">
        <f>COUNTIFS(員工資料!C:C,A4,員工資料!G:G,"C")</f>
        <v/>
      </c>
      <c r="E4">
        <f>COUNTIFS(員工資料!C:C,A4,員工資料!G:G,"D")</f>
        <v/>
      </c>
      <c r="F4">
        <f>SUM(B4:E4)</f>
        <v/>
      </c>
      <c r="G4" s="9">
        <f>IFERROR(B4/F4,0)</f>
        <v/>
      </c>
      <c r="H4" s="9">
        <f>IFERROR(C4/F4,0)</f>
        <v/>
      </c>
    </row>
    <row r="5">
      <c r="A5" t="inlineStr">
        <is>
          <t>業務部</t>
        </is>
      </c>
      <c r="B5">
        <f>COUNTIFS(員工資料!C:C,A5,員工資料!G:G,"A")</f>
        <v/>
      </c>
      <c r="C5">
        <f>COUNTIFS(員工資料!C:C,A5,員工資料!G:G,"B")</f>
        <v/>
      </c>
      <c r="D5">
        <f>COUNTIFS(員工資料!C:C,A5,員工資料!G:G,"C")</f>
        <v/>
      </c>
      <c r="E5">
        <f>COUNTIFS(員工資料!C:C,A5,員工資料!G:G,"D")</f>
        <v/>
      </c>
      <c r="F5">
        <f>SUM(B5:E5)</f>
        <v/>
      </c>
      <c r="G5" s="9">
        <f>IFERROR(B5/F5,0)</f>
        <v/>
      </c>
      <c r="H5" s="9">
        <f>IFERROR(C5/F5,0)</f>
        <v/>
      </c>
    </row>
    <row r="6">
      <c r="A6" t="inlineStr">
        <is>
          <t>人資部</t>
        </is>
      </c>
      <c r="B6">
        <f>COUNTIFS(員工資料!C:C,A6,員工資料!G:G,"A")</f>
        <v/>
      </c>
      <c r="C6">
        <f>COUNTIFS(員工資料!C:C,A6,員工資料!G:G,"B")</f>
        <v/>
      </c>
      <c r="D6">
        <f>COUNTIFS(員工資料!C:C,A6,員工資料!G:G,"C")</f>
        <v/>
      </c>
      <c r="E6">
        <f>COUNTIFS(員工資料!C:C,A6,員工資料!G:G,"D")</f>
        <v/>
      </c>
      <c r="F6">
        <f>SUM(B6:E6)</f>
        <v/>
      </c>
      <c r="G6" s="9">
        <f>IFERROR(B6/F6,0)</f>
        <v/>
      </c>
      <c r="H6" s="9">
        <f>IFERROR(C6/F6,0)</f>
        <v/>
      </c>
    </row>
    <row r="7">
      <c r="A7" t="inlineStr">
        <is>
          <t>財務部</t>
        </is>
      </c>
      <c r="B7">
        <f>COUNTIFS(員工資料!C:C,A7,員工資料!G:G,"A")</f>
        <v/>
      </c>
      <c r="C7">
        <f>COUNTIFS(員工資料!C:C,A7,員工資料!G:G,"B")</f>
        <v/>
      </c>
      <c r="D7">
        <f>COUNTIFS(員工資料!C:C,A7,員工資料!G:G,"C")</f>
        <v/>
      </c>
      <c r="E7">
        <f>COUNTIFS(員工資料!C:C,A7,員工資料!G:G,"D")</f>
        <v/>
      </c>
      <c r="F7">
        <f>SUM(B7:E7)</f>
        <v/>
      </c>
      <c r="G7" s="9">
        <f>IFERROR(B7/F7,0)</f>
        <v/>
      </c>
      <c r="H7" s="9">
        <f>IFERROR(C7/F7,0)</f>
        <v/>
      </c>
    </row>
    <row r="8">
      <c r="A8" t="inlineStr">
        <is>
          <t>法務部</t>
        </is>
      </c>
      <c r="B8">
        <f>COUNTIFS(員工資料!C:C,A8,員工資料!G:G,"A")</f>
        <v/>
      </c>
      <c r="C8">
        <f>COUNTIFS(員工資料!C:C,A8,員工資料!G:G,"B")</f>
        <v/>
      </c>
      <c r="D8">
        <f>COUNTIFS(員工資料!C:C,A8,員工資料!G:G,"C")</f>
        <v/>
      </c>
      <c r="E8">
        <f>COUNTIFS(員工資料!C:C,A8,員工資料!G:G,"D")</f>
        <v/>
      </c>
      <c r="F8">
        <f>SUM(B8:E8)</f>
        <v/>
      </c>
      <c r="G8" s="9">
        <f>IFERROR(B8/F8,0)</f>
        <v/>
      </c>
      <c r="H8" s="9">
        <f>IFERROR(C8/F8,0)</f>
        <v/>
      </c>
    </row>
    <row r="9">
      <c r="A9" s="7" t="inlineStr">
        <is>
          <t>全體</t>
        </is>
      </c>
      <c r="B9" s="7">
        <f>COUNTIF(員工資料!G:G,"A")</f>
        <v/>
      </c>
      <c r="C9" s="7">
        <f>COUNTIF(員工資料!G:G,"B")</f>
        <v/>
      </c>
      <c r="D9" s="7">
        <f>COUNTIF(員工資料!G:G,"C")</f>
        <v/>
      </c>
      <c r="E9" s="7">
        <f>COUNTIF(員工資料!G:G,"D")</f>
        <v/>
      </c>
      <c r="F9" s="7">
        <f>SUM(B9:E9)</f>
        <v/>
      </c>
      <c r="G9" s="10">
        <f>IFERROR(B9/F9,0)</f>
        <v/>
      </c>
      <c r="H9" s="10">
        <f>IFERROR(C9/F9,0)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2026-06-11T08:10:20Z</dcterms:created>
  <dcterms:modified xmlns:dcterms="http://purl.org/dc/terms/" xmlns:xsi="http://www.w3.org/2001/XMLSchema-instance" xsi:type="dcterms:W3CDTF">2026-06-11T08:10:21Z</dcterms:modified>
</cp:coreProperties>
</file>